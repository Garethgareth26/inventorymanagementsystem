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SUS\Documents\TUGAS AKHIR\Presentasi TA 1\"/>
    </mc:Choice>
  </mc:AlternateContent>
  <xr:revisionPtr revIDLastSave="0" documentId="13_ncr:1_{A53B0812-E256-4E3F-95B9-600D33664269}" xr6:coauthVersionLast="47" xr6:coauthVersionMax="47" xr10:uidLastSave="{00000000-0000-0000-0000-000000000000}"/>
  <bookViews>
    <workbookView xWindow="-98" yWindow="-98" windowWidth="21795" windowHeight="12975" tabRatio="684" activeTab="3" xr2:uid="{00000000-000D-0000-FFFF-FFFF00000000}"/>
  </bookViews>
  <sheets>
    <sheet name="Bill of Material" sheetId="7" r:id="rId1"/>
    <sheet name="Barang Jadi" sheetId="8" r:id="rId2"/>
    <sheet name="Data Penjualan" sheetId="6" r:id="rId3"/>
    <sheet name="Pemakaian Bulanan" sheetId="1" r:id="rId4"/>
    <sheet name="ABC-EOQ-SS-ROP" sheetId="2" r:id="rId5"/>
    <sheet name="Data Pemesanan" sheetId="3" r:id="rId6"/>
    <sheet name="Master Bahan Baku" sheetId="4" r:id="rId7"/>
    <sheet name="Catatan Asumsi &amp; Metodologi" sheetId="5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2" l="1"/>
  <c r="J3" i="4"/>
  <c r="J4" i="4"/>
  <c r="J5" i="4"/>
  <c r="J6" i="4"/>
  <c r="J7" i="4"/>
  <c r="J8" i="4"/>
  <c r="J9" i="4"/>
  <c r="J10" i="4"/>
  <c r="J11" i="4"/>
  <c r="J2" i="4"/>
  <c r="I3" i="4"/>
  <c r="I4" i="4"/>
  <c r="I5" i="4"/>
  <c r="I6" i="4"/>
  <c r="I7" i="4"/>
  <c r="I8" i="4"/>
  <c r="I9" i="4"/>
  <c r="I10" i="4"/>
  <c r="I11" i="4"/>
  <c r="I2" i="4"/>
  <c r="H4" i="4"/>
  <c r="H5" i="4"/>
  <c r="H6" i="4"/>
  <c r="H7" i="4"/>
  <c r="H8" i="4"/>
  <c r="H9" i="4"/>
  <c r="H10" i="4"/>
  <c r="H11" i="4"/>
  <c r="H2" i="4"/>
  <c r="F3" i="4"/>
  <c r="H3" i="4" s="1"/>
  <c r="F4" i="4"/>
  <c r="F5" i="4"/>
  <c r="F6" i="4"/>
  <c r="F7" i="4"/>
  <c r="F8" i="4"/>
  <c r="F9" i="4"/>
  <c r="F10" i="4"/>
  <c r="F11" i="4"/>
  <c r="F2" i="4"/>
  <c r="O11" i="1"/>
  <c r="O10" i="1"/>
  <c r="O9" i="1"/>
  <c r="O8" i="1"/>
  <c r="O12" i="1" s="1"/>
  <c r="O5" i="1"/>
  <c r="O6" i="1"/>
  <c r="O7" i="1"/>
  <c r="O4" i="1"/>
  <c r="O3" i="1"/>
  <c r="O2" i="1"/>
  <c r="N2" i="1"/>
  <c r="N11" i="1"/>
  <c r="N10" i="1"/>
  <c r="N9" i="1"/>
  <c r="N8" i="1"/>
  <c r="N5" i="1"/>
  <c r="N6" i="1"/>
  <c r="N7" i="1"/>
  <c r="N4" i="1"/>
  <c r="N3" i="1"/>
  <c r="M2" i="1"/>
  <c r="M11" i="1"/>
  <c r="M10" i="1"/>
  <c r="M9" i="1"/>
  <c r="M8" i="1"/>
  <c r="M5" i="1"/>
  <c r="M6" i="1"/>
  <c r="M7" i="1"/>
  <c r="M4" i="1"/>
  <c r="M3" i="1"/>
  <c r="L2" i="1"/>
  <c r="L11" i="1"/>
  <c r="L10" i="1"/>
  <c r="L9" i="1"/>
  <c r="L8" i="1"/>
  <c r="L5" i="1"/>
  <c r="L6" i="1"/>
  <c r="L7" i="1"/>
  <c r="L4" i="1"/>
  <c r="L3" i="1"/>
  <c r="K2" i="1"/>
  <c r="K11" i="1"/>
  <c r="K10" i="1"/>
  <c r="K9" i="1"/>
  <c r="K8" i="1"/>
  <c r="K5" i="1"/>
  <c r="K6" i="1"/>
  <c r="K7" i="1"/>
  <c r="K4" i="1"/>
  <c r="K3" i="1"/>
  <c r="J2" i="1"/>
  <c r="J11" i="1"/>
  <c r="J10" i="1"/>
  <c r="J9" i="1"/>
  <c r="J8" i="1"/>
  <c r="J5" i="1"/>
  <c r="J6" i="1"/>
  <c r="J7" i="1"/>
  <c r="J4" i="1"/>
  <c r="J3" i="1"/>
  <c r="I2" i="1"/>
  <c r="I11" i="1"/>
  <c r="I10" i="1"/>
  <c r="I9" i="1"/>
  <c r="I8" i="1"/>
  <c r="I4" i="1"/>
  <c r="I5" i="1"/>
  <c r="I6" i="1"/>
  <c r="I7" i="1"/>
  <c r="I3" i="1"/>
  <c r="H2" i="1"/>
  <c r="H11" i="1"/>
  <c r="H10" i="1"/>
  <c r="H9" i="1"/>
  <c r="H8" i="1"/>
  <c r="H4" i="1"/>
  <c r="H5" i="1"/>
  <c r="H6" i="1"/>
  <c r="H7" i="1"/>
  <c r="H3" i="1"/>
  <c r="G2" i="1"/>
  <c r="G11" i="1"/>
  <c r="G10" i="1"/>
  <c r="G9" i="1"/>
  <c r="G8" i="1"/>
  <c r="G5" i="1"/>
  <c r="G6" i="1"/>
  <c r="G7" i="1"/>
  <c r="G4" i="1"/>
  <c r="G3" i="1"/>
  <c r="F2" i="1"/>
  <c r="F11" i="1"/>
  <c r="F10" i="1"/>
  <c r="F9" i="1"/>
  <c r="F8" i="1"/>
  <c r="F7" i="1"/>
  <c r="F6" i="1"/>
  <c r="F5" i="1"/>
  <c r="F4" i="1"/>
  <c r="F3" i="1"/>
  <c r="E2" i="1"/>
  <c r="D2" i="1"/>
  <c r="E12" i="1"/>
  <c r="D12" i="1"/>
  <c r="E11" i="1"/>
  <c r="E10" i="1"/>
  <c r="E9" i="1"/>
  <c r="E8" i="1"/>
  <c r="E7" i="1"/>
  <c r="E6" i="1"/>
  <c r="E5" i="1"/>
  <c r="E4" i="1"/>
  <c r="E3" i="1"/>
  <c r="D3" i="1"/>
  <c r="D11" i="1"/>
  <c r="D10" i="1"/>
  <c r="D9" i="1"/>
  <c r="D8" i="1"/>
  <c r="D7" i="1"/>
  <c r="D6" i="1"/>
  <c r="D5" i="1"/>
  <c r="D4" i="1"/>
  <c r="C42" i="6"/>
  <c r="N42" i="6"/>
  <c r="M42" i="6"/>
  <c r="L42" i="6"/>
  <c r="K42" i="6"/>
  <c r="J42" i="6"/>
  <c r="I42" i="6"/>
  <c r="H42" i="6"/>
  <c r="G42" i="6"/>
  <c r="F42" i="6"/>
  <c r="E42" i="6"/>
  <c r="D42" i="6"/>
  <c r="O41" i="6"/>
  <c r="O40" i="6"/>
  <c r="O39" i="6"/>
  <c r="O38" i="6"/>
  <c r="O37" i="6"/>
  <c r="O36" i="6"/>
  <c r="O35" i="6"/>
  <c r="O34" i="6"/>
  <c r="O33" i="6"/>
  <c r="O32" i="6"/>
  <c r="O42" i="6" s="1"/>
  <c r="N12" i="1" l="1"/>
  <c r="M12" i="1"/>
  <c r="L12" i="1"/>
  <c r="K12" i="1"/>
  <c r="J12" i="1"/>
  <c r="I12" i="1"/>
  <c r="H12" i="1"/>
  <c r="G12" i="1"/>
  <c r="F12" i="1"/>
  <c r="E10" i="7"/>
  <c r="F10" i="7"/>
  <c r="M2" i="2"/>
  <c r="N2" i="2" s="1"/>
  <c r="Q2" i="2" s="1"/>
  <c r="M3" i="2"/>
  <c r="N3" i="2" s="1"/>
  <c r="Q3" i="2" s="1"/>
  <c r="M4" i="2"/>
  <c r="N4" i="2" s="1"/>
  <c r="Q4" i="2" s="1"/>
  <c r="M5" i="2"/>
  <c r="N5" i="2" s="1"/>
  <c r="Q5" i="2" s="1"/>
  <c r="M6" i="2"/>
  <c r="N6" i="2" s="1"/>
  <c r="Q6" i="2" s="1"/>
  <c r="M7" i="2"/>
  <c r="N7" i="2" s="1"/>
  <c r="Q7" i="2" s="1"/>
  <c r="M8" i="2"/>
  <c r="N8" i="2" s="1"/>
  <c r="Q8" i="2" s="1"/>
  <c r="M9" i="2"/>
  <c r="N9" i="2" s="1"/>
  <c r="Q9" i="2" s="1"/>
  <c r="M10" i="2"/>
  <c r="N10" i="2" s="1"/>
  <c r="Q10" i="2" s="1"/>
  <c r="M11" i="2"/>
  <c r="N11" i="2" s="1"/>
  <c r="Q11" i="2" s="1"/>
  <c r="K3" i="2"/>
  <c r="K4" i="2"/>
  <c r="K5" i="2"/>
  <c r="K6" i="2"/>
  <c r="K7" i="2"/>
  <c r="K8" i="2"/>
  <c r="K9" i="2"/>
  <c r="K10" i="2"/>
  <c r="K11" i="2"/>
  <c r="K2" i="2"/>
  <c r="N27" i="6"/>
  <c r="M27" i="6"/>
  <c r="L27" i="6"/>
  <c r="K27" i="6"/>
  <c r="J27" i="6"/>
  <c r="I27" i="6"/>
  <c r="H27" i="6"/>
  <c r="G27" i="6"/>
  <c r="F27" i="6"/>
  <c r="E27" i="6"/>
  <c r="D27" i="6"/>
  <c r="C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27" i="6" s="1"/>
  <c r="P11" i="1" l="1"/>
  <c r="D11" i="2" s="1"/>
  <c r="R11" i="2" s="1"/>
  <c r="P10" i="1"/>
  <c r="D10" i="2" s="1"/>
  <c r="F10" i="2" s="1"/>
  <c r="P9" i="1"/>
  <c r="D9" i="2" s="1"/>
  <c r="F9" i="2" s="1"/>
  <c r="P8" i="1"/>
  <c r="D8" i="2" s="1"/>
  <c r="P7" i="1"/>
  <c r="D7" i="2" s="1"/>
  <c r="P6" i="1"/>
  <c r="D6" i="2" s="1"/>
  <c r="P5" i="1"/>
  <c r="D5" i="2" s="1"/>
  <c r="P4" i="1"/>
  <c r="D4" i="2" s="1"/>
  <c r="P3" i="1"/>
  <c r="D3" i="2" s="1"/>
  <c r="P2" i="1"/>
  <c r="D2" i="2" l="1"/>
  <c r="R2" i="2" s="1"/>
  <c r="P12" i="1"/>
  <c r="F11" i="2"/>
  <c r="R10" i="2"/>
  <c r="R9" i="2"/>
  <c r="R8" i="2"/>
  <c r="F8" i="2"/>
  <c r="F7" i="2"/>
  <c r="R7" i="2"/>
  <c r="F3" i="2"/>
  <c r="R3" i="2"/>
  <c r="R4" i="2"/>
  <c r="F4" i="2"/>
  <c r="R5" i="2"/>
  <c r="F5" i="2"/>
  <c r="R6" i="2"/>
  <c r="F6" i="2"/>
  <c r="F2" i="2"/>
  <c r="G6" i="2" l="1"/>
  <c r="G11" i="2"/>
  <c r="G5" i="2"/>
  <c r="G4" i="2"/>
  <c r="G10" i="2"/>
  <c r="G3" i="2"/>
  <c r="G8" i="2"/>
  <c r="G7" i="2"/>
  <c r="G2" i="2"/>
  <c r="G9" i="2"/>
  <c r="H8" i="2" l="1"/>
  <c r="I8" i="2" s="1"/>
  <c r="H4" i="2"/>
  <c r="I4" i="2" s="1"/>
  <c r="H7" i="2"/>
  <c r="I7" i="2" s="1"/>
  <c r="H5" i="2"/>
  <c r="I5" i="2" s="1"/>
  <c r="H2" i="2"/>
  <c r="I2" i="2" s="1"/>
  <c r="H9" i="2"/>
  <c r="I9" i="2" s="1"/>
  <c r="H3" i="2"/>
  <c r="I3" i="2" s="1"/>
  <c r="H6" i="2"/>
  <c r="I6" i="2" s="1"/>
  <c r="H11" i="2"/>
  <c r="I11" i="2" s="1"/>
  <c r="H10" i="2"/>
  <c r="I10" i="2" s="1"/>
</calcChain>
</file>

<file path=xl/sharedStrings.xml><?xml version="1.0" encoding="utf-8"?>
<sst xmlns="http://schemas.openxmlformats.org/spreadsheetml/2006/main" count="819" uniqueCount="195">
  <si>
    <t>Kode</t>
  </si>
  <si>
    <t>Nama Bahan Baku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</si>
  <si>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</si>
  <si>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</si>
  <si>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</si>
  <si>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</si>
  <si>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</si>
  <si>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</si>
  <si>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</si>
  <si>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</si>
  <si>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</si>
  <si>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</si>
  <si>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</si>
  <si>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</si>
  <si>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</si>
  <si>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</si>
  <si>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Sumber Data</t>
  </si>
  <si>
    <t>BB01</t>
  </si>
  <si>
    <t>Methyl Ester Sulfonate (MES)</t>
  </si>
  <si>
    <t>kg</t>
  </si>
  <si>
    <t>Data riil perusahaan</t>
  </si>
  <si>
    <t>BB02</t>
  </si>
  <si>
    <t>Sodium Cocoyl Isethionate (SCI)</t>
  </si>
  <si>
    <t>BB03</t>
  </si>
  <si>
    <t>Cocamidopropyl Betaine (CAPB)</t>
  </si>
  <si>
    <t>BB04</t>
  </si>
  <si>
    <t>Elaeis Guineensis Butter</t>
  </si>
  <si>
    <t>BB05</t>
  </si>
  <si>
    <t>Cetyl Alcohol</t>
  </si>
  <si>
    <t>BB06</t>
  </si>
  <si>
    <t>Guargum</t>
  </si>
  <si>
    <t>Estimasi dari data penjualan (BOM asumsi 1,0% berat produk, semua varian)</t>
  </si>
  <si>
    <t>BB07</t>
  </si>
  <si>
    <t>Urang-Aring</t>
  </si>
  <si>
    <t>Estimasi dari data penjualan (BOM asumsi 3,0% berat produk, varian Urang Aring saja)</t>
  </si>
  <si>
    <t>BB08</t>
  </si>
  <si>
    <t>Bergamot Oil</t>
  </si>
  <si>
    <t>liter</t>
  </si>
  <si>
    <t>Estimasi dari data penjualan (BOM asumsi 0,5% berat produk, semua varian - base fragrance)</t>
  </si>
  <si>
    <t>BB09</t>
  </si>
  <si>
    <t>Rosemary Oil</t>
  </si>
  <si>
    <t>Estimasi dari data penjualan (BOM asumsi tambahan 1,5% berat produk, varian Rosemary/Turmeric Rosemary saja)</t>
  </si>
  <si>
    <t>BB10</t>
  </si>
  <si>
    <t>Lavender Oil</t>
  </si>
  <si>
    <t>Kebutuhan Tahunan (D)</t>
  </si>
  <si>
    <t>Harga Satuan (Rp)</t>
  </si>
  <si>
    <t>Nilai Pemakaian Tahunan (Rp)</t>
  </si>
  <si>
    <t>% Individual</t>
  </si>
  <si>
    <t>% Kumulatif</t>
  </si>
  <si>
    <t>Kelas ABC</t>
  </si>
  <si>
    <t>Biaya Pesan/S (Rp)</t>
  </si>
  <si>
    <t>Biaya Simpan/H (Rp/unit/th)</t>
  </si>
  <si>
    <t>EOQ</t>
  </si>
  <si>
    <t>SD Bulanan</t>
  </si>
  <si>
    <t>SD Harian</t>
  </si>
  <si>
    <t>Lead Time (Hari)</t>
  </si>
  <si>
    <t>Z (95%)</t>
  </si>
  <si>
    <t>Safety Stock (SS)</t>
  </si>
  <si>
    <t>ROP</t>
  </si>
  <si>
    <t>Asumsi Stok Awal Jan 2025</t>
  </si>
  <si>
    <t>Ringkasan Klasifikasi ABC:</t>
  </si>
  <si>
    <t>Kelas A (3 item, ~80% nilai): BB02, BB03, BB01</t>
  </si>
  <si>
    <t>Kelas B (3 item, ~15% nilai): BB05, BB04, BB10</t>
  </si>
  <si>
    <t>Kelas C (4 item, ~5% nilai): BB08, BB06, BB09, BB07</t>
  </si>
  <si>
    <t>No</t>
  </si>
  <si>
    <t>Tanggal Pesan</t>
  </si>
  <si>
    <t>Jenis Pesanan</t>
  </si>
  <si>
    <t>Supplier</t>
  </si>
  <si>
    <t>Kota</t>
  </si>
  <si>
    <t>Jumlah Pesan</t>
  </si>
  <si>
    <t>Total Harga (Rp)</t>
  </si>
  <si>
    <t>Estimasi Tiba</t>
  </si>
  <si>
    <t>Status</t>
  </si>
  <si>
    <t>Rutin</t>
  </si>
  <si>
    <t>CV. Multi Kimia</t>
  </si>
  <si>
    <t>Jaya Kimia</t>
  </si>
  <si>
    <t>PT. Kao Indonesia Chemicals</t>
  </si>
  <si>
    <t>PT Jaya Utama Santikah</t>
  </si>
  <si>
    <t>Indoplant</t>
  </si>
  <si>
    <t>PT. Nilam Widuri</t>
  </si>
  <si>
    <t>TOTAL</t>
  </si>
  <si>
    <t>Supplier (Semarang - Rutin)</t>
  </si>
  <si>
    <t>Lead Time Rutin (Hari)</t>
  </si>
  <si>
    <t>Harga Rutin (Rp)</t>
  </si>
  <si>
    <t>Lead Time Darurat (Hari)</t>
  </si>
  <si>
    <t>Harga Darurat (Rp, +20%)</t>
  </si>
  <si>
    <t>Biaya Simpan (%/th)</t>
  </si>
  <si>
    <t>1-3</t>
  </si>
  <si>
    <t>CATATAN &amp; METODOLOGI DATA DUMMY PEMESANAN BAHAN BAKU + PERHITUNGAN ABC/EOQ/SS/ROP</t>
  </si>
  <si>
    <t>A. SUMBER DATA PEMAKAIAN</t>
  </si>
  <si>
    <t>1. MES, SCI, CAPB, Elaeis Guineensis Butter, Cetyl Alcohol: DATA RIIL perusahaan.</t>
  </si>
  <si>
    <t>2. Guargum, Urang-Aring, Bergamot/Rosemary/Lavender Oil: ESTIMASI dari data penjualan 39</t>
  </si>
  <si>
    <t xml:space="preserve">   varian x asumsi BOM (Guargum 1,0%, Bergamot/Lavender 0,5% - semua varian; Rosemary +1,5%</t>
  </si>
  <si>
    <t xml:space="preserve">   pada varian Rosemary/Turmeric Rosemary; Urang-Aring 3,0% pada varian Urang Aring saja).</t>
  </si>
  <si>
    <t xml:space="preserve">   Densitas minyak esensial diasumsikan 0,88 g/ml untuk konversi ke liter.</t>
  </si>
  <si>
    <t>B. PARAMETER PERHITUNGAN (SEMUA ASUMSI, PERLU VERIFIKASI KE PERUSAHAAN)</t>
  </si>
  <si>
    <t>1. Harga satuan tiap bahan baku: ESTIMASI (lihat sheet Master Bahan Baku), BUKAN harga</t>
  </si>
  <si>
    <t xml:space="preserve">   riil dari supplier/invoice.</t>
  </si>
  <si>
    <t>2. Biaya pemesanan (S) = Rp75.000/pesanan untuk SEMUA bahan baku - asumsi rata-rata biaya</t>
  </si>
  <si>
    <t xml:space="preserve">   admin &amp; komunikasi per transaksi, lazim dipakai UMKM sejenis karena data riil tidak ada.</t>
  </si>
  <si>
    <t>3. Biaya simpan (H) = 20% dari harga satuan per tahun (parameter yang sudah ditetapkan</t>
  </si>
  <si>
    <t xml:space="preserve">   sebelumnya di penelitian ini).</t>
  </si>
  <si>
    <t>4. Z = 1,65 (service level 95%) - parameter yang sudah ditetapkan sebelumnya.</t>
  </si>
  <si>
    <t>5. Stok awal Januari 2025 = pemakaian bulan Januari + Safety Stock (asumsi titik awal yang</t>
  </si>
  <si>
    <t xml:space="preserve">   sudah mencakup buffer pengaman; SILAKAN GANTI bila ada data stok fisik riil).</t>
  </si>
  <si>
    <t>C. RUMUS YANG DIGUNAKAN</t>
  </si>
  <si>
    <t xml:space="preserve">   EOQ = akar(2 x D x S / H)         dengan D = kebutuhan tahunan (kg/liter)</t>
  </si>
  <si>
    <t xml:space="preserve">   SD Bulanan = simpangan baku pemakaian 12 bulan (sample stdev)</t>
  </si>
  <si>
    <t xml:space="preserve">   SD Harian  = SD Bulanan / akar(30)     (asumsi 30 hari/bulan)</t>
  </si>
  <si>
    <t xml:space="preserve">   Safety Stock (SS) = Z x SD Harian x akar(Lead Time)</t>
  </si>
  <si>
    <t xml:space="preserve">   ROP = (kebutuhan harian rata-rata x Lead Time) + SS</t>
  </si>
  <si>
    <t xml:space="preserve">   Kebutuhan harian rata-rata = D / 365</t>
  </si>
  <si>
    <t>D. METODOLOGI SD (SESUAI REVISI SIDANG PROPOSAL)</t>
  </si>
  <si>
    <t xml:space="preserve">   Untuk 5 bahan baku dasar (data riil), SD dihitung langsung dari data pemakaian bulanan yang</t>
  </si>
  <si>
    <t xml:space="preserve">   SUDAH merefleksikan permintaan produk jadi. Untuk 5 bahan baku estimasi, pemakaian bulanan</t>
  </si>
  <si>
    <t xml:space="preserve">   diturunkan LEBIH DULU dari data penjualan varian (demand produk jadi) dikonversi lewat BOM,</t>
  </si>
  <si>
    <t xml:space="preserve">   baru kemudian dihitung SD-nya - metodologi ini konsisten dengan revisi bahwa SD harus berasal</t>
  </si>
  <si>
    <t xml:space="preserve">   dari variabilitas permintaan produk jadi, BUKAN dari fluktuasi data pemesanan bahan baku.</t>
  </si>
  <si>
    <t>E. KLASIFIKASI ABC</t>
  </si>
  <si>
    <t xml:space="preserve">   Diurutkan berdasarkan Nilai Pemakaian Tahunan (D x Harga Satuan) menurun, lalu dikelompokkan:</t>
  </si>
  <si>
    <t xml:space="preserve">   Kelas A: kumulatif s.d. 80% nilai | Kelas B: 80-95% | Kelas C: 95-100%</t>
  </si>
  <si>
    <t>F. LOGIKA PEMESANAN &amp; STOCKOUT (lihat sheet Data Pemesanan)</t>
  </si>
  <si>
    <t xml:space="preserve">   Pesanan RUTIN (Semarang, tgl 3/bulan) = pemakaian bulan sebelumnya x margin 10%.</t>
  </si>
  <si>
    <t xml:space="preserve">   STOCKOUT terjadi jika pemakaian aktual &gt; jumlah yang sudah dipesan -&gt; otomatis muncul</t>
  </si>
  <si>
    <t xml:space="preserve">   Pesanan DARURAT (Jakarta, tgl 18, harga +20%, lead time 1-3 hari) sebesar kekurangannya.</t>
  </si>
  <si>
    <t>G. STATUS PENDING - PERLU DIVERIFIKASI KE PERUSAHAAN</t>
  </si>
  <si>
    <t xml:space="preserve">   - Nama riil supplier darurat Jakarta</t>
  </si>
  <si>
    <t xml:space="preserve">   - Harga satuan riil tiap bahan baku (invoice/quotation supplier)</t>
  </si>
  <si>
    <t xml:space="preserve">   - Biaya pemesanan riil (S) jika perusahaan mencatatnya</t>
  </si>
  <si>
    <t xml:space="preserve">   - Data stok fisik awal Januari 2025 (kartu stok/laporan gudang)</t>
  </si>
  <si>
    <t xml:space="preserve">   - Beri label eksplisit 'data uji sistem/estimasi akademik' pada BAB IV untuk memisahkan dari</t>
  </si>
  <si>
    <t xml:space="preserve">     data pemakaian riil 5 bahan baku dasar.</t>
  </si>
  <si>
    <t>NAMA PRODUK</t>
  </si>
  <si>
    <t>PERIODE</t>
  </si>
  <si>
    <t>SHAMPOO BAR 100GR URANG ARING SCENTED</t>
  </si>
  <si>
    <t>SHAMPOO BAR 100GR URANG ARING UNSCENTED</t>
  </si>
  <si>
    <t>SHAMPOO BAR 100 GR CINNAMON</t>
  </si>
  <si>
    <t>SHAMPOO BAR 100 GR TURMERIC ROSEMARY</t>
  </si>
  <si>
    <t>SHAMPOO BAR 100GR GINGER</t>
  </si>
  <si>
    <t>SHAMPOO BAR 100 GR LICORICE SCENTED</t>
  </si>
  <si>
    <t>SHAMPOO BAR 100 GR LICORICE UNSCENTED</t>
  </si>
  <si>
    <t>SHAMPOO BAR 100GR GREEN TEA</t>
  </si>
  <si>
    <t>SHAMPOO BAR 100 GR MORINGA</t>
  </si>
  <si>
    <t>SHAMPOO BAR 100 GR NEEM SCENTED</t>
  </si>
  <si>
    <t>SHAMPOO BAR 100 GR NEEM UNSCENTED</t>
  </si>
  <si>
    <t>SHAMPOO BAR 100 GR PAPAYA</t>
  </si>
  <si>
    <t>SHAMPOO BAR 100GR ROSEMARY</t>
  </si>
  <si>
    <t>SHAMPOO BAR 100GR TELANG</t>
  </si>
  <si>
    <t>SHAMPOO BAR 100GR BETEL</t>
  </si>
  <si>
    <t>SHAMPOO BAR 100GR CELERY</t>
  </si>
  <si>
    <t>SHAMPOO BAR 100GR UNSCENTED</t>
  </si>
  <si>
    <t>SHAMPOO BAR 100GR SPIRULINA SAGE</t>
  </si>
  <si>
    <t>SHAMPOO BAR 100GR ORANGE PEEL</t>
  </si>
  <si>
    <t>Bahan Baku</t>
  </si>
  <si>
    <t>Persentase</t>
  </si>
  <si>
    <t>Guar Gum</t>
  </si>
  <si>
    <t>Total Master BOM</t>
  </si>
  <si>
    <t>Essential oil</t>
  </si>
  <si>
    <t>100 gram</t>
  </si>
  <si>
    <t>30 gram</t>
  </si>
  <si>
    <t>SHAMPOO BAR 30 GR CINNAMON</t>
  </si>
  <si>
    <t>SHAMPOO BAR 30 GR LICORICE</t>
  </si>
  <si>
    <t>SHAMPOO BAR 30 GR MORINGA</t>
  </si>
  <si>
    <t>SHAMPOO BAR 30 GR TURMERIC ROSEMARY</t>
  </si>
  <si>
    <t>SHAMPOO BAR 30 GR CELERY</t>
  </si>
  <si>
    <t>SHAMPOO BAR 30 GR GINGER</t>
  </si>
  <si>
    <t>SHAMPOO BAR 30 GR GREEN TEA</t>
  </si>
  <si>
    <t>SHAMPOO BAR 30 GR ROSEMARY</t>
  </si>
  <si>
    <t>SHAMPOO BAR 30 GR TELANG</t>
  </si>
  <si>
    <t>SHAMPOO BAR 30 GR URANG ARING</t>
  </si>
  <si>
    <t>SHAMPOO BAR 100 GR GINSENG JAWA UNSCENTED</t>
  </si>
  <si>
    <t>SHAMPOO BAR 100 GR GINSENG JAWA SCENTED</t>
  </si>
  <si>
    <t>SHAMPOO BAR 100 GR URANG ARING SCENTED</t>
  </si>
  <si>
    <t>SHAMPOO BAR 100 GR URANG ARING UNSCENTED</t>
  </si>
  <si>
    <t>SHAMPOO BAR 100 GR GREEN TEA</t>
  </si>
  <si>
    <t>SHAMPOO BAR 100 GR ROSEMARY</t>
  </si>
  <si>
    <t>SHAMPOO BAR 100 GR TELANG</t>
  </si>
  <si>
    <t>SHAMPOO BAR 100 GR BETEL</t>
  </si>
  <si>
    <t>SHAMPOO BAR 100 GR CELERY</t>
  </si>
  <si>
    <t>SHAMPOO BAR 100 GR UNSCENTED</t>
  </si>
  <si>
    <t>SHAMPOO BAR 100 GR FO TI MERANG</t>
  </si>
  <si>
    <t>SHAMPOO BAR 100 GR AGAR-AGAR SANTAN</t>
  </si>
  <si>
    <t>SHAMPOO BAR 100 GR SPIRULINA SAGE</t>
  </si>
  <si>
    <t>SHAMPOO BAR 100 GR ORANGE PEEL</t>
  </si>
  <si>
    <t>Nama Produk</t>
  </si>
  <si>
    <t>Harga (Rp)</t>
  </si>
  <si>
    <t>SHAMPOO BAR 100GR AGAR-AGAR SANTAN</t>
  </si>
  <si>
    <t>SHAMPOO BAR 100GR FO TI MERANG</t>
  </si>
  <si>
    <t>SHAMPOO BAR 30GR GINSENG JAWA</t>
  </si>
  <si>
    <t>SHAMPOO BAR 30GR CELERY</t>
  </si>
  <si>
    <t>SHAMPOO BAR 30GR GINGER</t>
  </si>
  <si>
    <t>SHAMPOO BAR 30GR GREEN TEA</t>
  </si>
  <si>
    <t>SHAMPOO BAR 30GR ROSEMARY</t>
  </si>
  <si>
    <t>SHAMPOO BAR 30GR TELANG</t>
  </si>
  <si>
    <t>SHAMPOO BAR 30GR URANG 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</si>
</sst>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"/>
  </numFmts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b/>
      <sz val="10"/>
      <color rgb="FFC00000"/>
      <name val="Arial"/>
      <charset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0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2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3" fontId="6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2" fillId="0" borderId="0" xfId="0" applyFont="1"/>
    <xf numFmtId="0" fontId="9" fillId="3" borderId="7" xfId="0" applyFont="1" applyFill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 applyAlignment="1">
      <alignment horizontal="center"/>
    </xf>
    <xf numFmtId="0" fontId="9" fillId="0" borderId="7" xfId="0" applyFont="1" applyBorder="1"/>
    <xf numFmtId="2" fontId="1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0" fontId="12" fillId="0" borderId="0" xfId="0" applyFont="1"/>
    <xf numFmtId="0" fontId="12" fillId="0" borderId="8" xfId="0" applyFont="1" applyBorder="1"/>
    <xf numFmtId="9" fontId="9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1" fillId="0" borderId="0" xfId="0" applyFont="1"/>
    <xf numFmtId="0" fontId="11" fillId="0" borderId="8" xfId="0" applyFont="1" applyBorder="1"/>
    <xf numFmtId="0" fontId="9" fillId="5" borderId="8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4" fillId="0" borderId="1" xfId="0" applyNumberFormat="1" applyFont="1" applyBorder="1" applyAlignment="1">
      <alignment horizontal="center"/>
    </xf>
    <xf numFmtId="2" fontId="0" fillId="0" borderId="0" xfId="0" applyNumberFormat="1"/>
    <xf numFmtId="0" fontId="6" fillId="6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10" fillId="3" borderId="6" xfId="0" applyFont="1" applyFill="1" applyBorder="1"/>
    <xf numFmtId="0" fontId="9" fillId="3" borderId="3" xfId="0" applyFont="1" applyFill="1" applyBorder="1" applyAlignment="1">
      <alignment horizontal="center"/>
    </xf>
    <xf numFmtId="0" fontId="10" fillId="3" borderId="4" xfId="0" applyFont="1" applyFill="1" applyBorder="1"/>
    <xf numFmtId="0" fontId="10" fillId="3" borderId="5" xfId="0" applyFont="1" applyFill="1" applyBorder="1"/>
    <xf numFmtId="0" fontId="9" fillId="3" borderId="2" xfId="0" applyFont="1" applyFill="1" applyBorder="1" applyAlignment="1">
      <alignment horizontal="center"/>
    </xf>
    <xf numFmtId="0" fontId="9" fillId="0" borderId="0" xfId="0" applyFont="1"/>
    <xf numFmtId="0" fontId="11" fillId="0" borderId="0" xfId="0" applyFont="1"/>
    <xf numFmtId="0" fontId="9" fillId="5" borderId="8" xfId="0" applyFont="1" applyFill="1" applyBorder="1" applyAlignment="1">
      <alignment horizontal="center" vertical="center"/>
    </xf>
    <xf numFmtId="0" fontId="11" fillId="5" borderId="8" xfId="0" applyFont="1" applyFill="1" applyBorder="1"/>
    <xf numFmtId="165" fontId="12" fillId="0" borderId="8" xfId="0" applyNumberFormat="1" applyFont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2E14-F7C0-4084-9CB4-EB2FEF96BBB0}">
  <dimension ref="B1:F10"/>
  <sheetViews>
    <sheetView zoomScale="70" zoomScaleNormal="70" workbookViewId="0">
      <selection activeCell="C40" sqref="C40"/>
    </sheetView>
  </sheetViews>
  <sheetFormatPr defaultRowHeight="14.25" x14ac:dyDescent="0.45"/>
  <cols>
    <col min="2" max="2" width="16.796875" customWidth="1"/>
    <col min="3" max="3" width="29.9296875" customWidth="1"/>
    <col min="4" max="4" width="23.59765625" customWidth="1"/>
  </cols>
  <sheetData>
    <row r="1" spans="2:6" ht="16.899999999999999" customHeight="1" x14ac:dyDescent="0.45"/>
    <row r="2" spans="2:6" ht="16.5" customHeight="1" x14ac:dyDescent="0.45">
      <c r="B2" s="30" t="s">
        <v>64</v>
      </c>
      <c r="C2" s="30" t="s">
        <v>153</v>
      </c>
      <c r="D2" s="30" t="s">
        <v>154</v>
      </c>
      <c r="E2" s="30" t="s">
        <v>158</v>
      </c>
      <c r="F2" s="30" t="s">
        <v>159</v>
      </c>
    </row>
    <row r="3" spans="2:6" ht="18.75" customHeight="1" x14ac:dyDescent="0.45">
      <c r="B3" s="31">
        <v>1</v>
      </c>
      <c r="C3" s="32" t="s">
        <v>22</v>
      </c>
      <c r="D3" s="33">
        <v>0.4</v>
      </c>
      <c r="E3" s="37">
        <v>40</v>
      </c>
      <c r="F3" s="37">
        <v>12</v>
      </c>
    </row>
    <row r="4" spans="2:6" ht="17.649999999999999" customHeight="1" x14ac:dyDescent="0.45">
      <c r="B4" s="31">
        <v>2</v>
      </c>
      <c r="C4" s="32" t="s">
        <v>18</v>
      </c>
      <c r="D4" s="33">
        <v>0.22</v>
      </c>
      <c r="E4" s="37">
        <v>22</v>
      </c>
      <c r="F4" s="37">
        <v>6.6</v>
      </c>
    </row>
    <row r="5" spans="2:6" ht="19.5" customHeight="1" x14ac:dyDescent="0.45">
      <c r="B5" s="31">
        <v>3</v>
      </c>
      <c r="C5" s="32" t="s">
        <v>24</v>
      </c>
      <c r="D5" s="33">
        <v>0.15</v>
      </c>
      <c r="E5" s="37">
        <v>15</v>
      </c>
      <c r="F5" s="37">
        <v>4.5</v>
      </c>
    </row>
    <row r="6" spans="2:6" ht="15.4" customHeight="1" x14ac:dyDescent="0.45">
      <c r="B6" s="31">
        <v>4</v>
      </c>
      <c r="C6" s="32" t="s">
        <v>26</v>
      </c>
      <c r="D6" s="33">
        <v>0.1</v>
      </c>
      <c r="E6" s="37">
        <v>10</v>
      </c>
      <c r="F6" s="37">
        <v>3</v>
      </c>
    </row>
    <row r="7" spans="2:6" x14ac:dyDescent="0.45">
      <c r="B7" s="31">
        <v>5</v>
      </c>
      <c r="C7" s="32" t="s">
        <v>28</v>
      </c>
      <c r="D7" s="33">
        <v>0.08</v>
      </c>
      <c r="E7" s="37">
        <v>8</v>
      </c>
      <c r="F7" s="37">
        <v>2.4</v>
      </c>
    </row>
    <row r="8" spans="2:6" x14ac:dyDescent="0.45">
      <c r="B8" s="31">
        <v>6</v>
      </c>
      <c r="C8" s="32" t="s">
        <v>155</v>
      </c>
      <c r="D8" s="33">
        <v>0.02</v>
      </c>
      <c r="E8" s="37">
        <v>2</v>
      </c>
      <c r="F8" s="37">
        <v>0.6</v>
      </c>
    </row>
    <row r="9" spans="2:6" x14ac:dyDescent="0.45">
      <c r="B9" s="31">
        <v>7</v>
      </c>
      <c r="C9" s="35" t="s">
        <v>157</v>
      </c>
      <c r="D9" s="33">
        <v>0.03</v>
      </c>
      <c r="E9" s="37">
        <v>3</v>
      </c>
      <c r="F9" s="37">
        <v>0.9</v>
      </c>
    </row>
    <row r="10" spans="2:6" ht="18.75" customHeight="1" x14ac:dyDescent="0.45">
      <c r="B10" s="47" t="s">
        <v>156</v>
      </c>
      <c r="C10" s="47"/>
      <c r="D10" s="36">
        <v>1</v>
      </c>
      <c r="E10" s="37">
        <f>SUM(E3:E9)</f>
        <v>100</v>
      </c>
      <c r="F10" s="37">
        <f>SUM(F3:F9)</f>
        <v>30</v>
      </c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8EF2-D3E6-4EC6-B8B0-C57A46AD0AD3}">
  <dimension ref="B2:D35"/>
  <sheetViews>
    <sheetView zoomScale="55" zoomScaleNormal="55" workbookViewId="0">
      <selection activeCell="F24" sqref="F24"/>
    </sheetView>
  </sheetViews>
  <sheetFormatPr defaultRowHeight="14.25" x14ac:dyDescent="0.45"/>
  <cols>
    <col min="3" max="3" width="48.59765625" customWidth="1"/>
    <col min="4" max="4" width="13.73046875" customWidth="1"/>
  </cols>
  <sheetData>
    <row r="2" spans="2:4" ht="17" customHeight="1" x14ac:dyDescent="0.45">
      <c r="B2" s="59" t="s">
        <v>64</v>
      </c>
      <c r="C2" s="59" t="s">
        <v>184</v>
      </c>
      <c r="D2" s="59" t="s">
        <v>185</v>
      </c>
    </row>
    <row r="3" spans="2:4" ht="17" customHeight="1" x14ac:dyDescent="0.45">
      <c r="B3" s="31">
        <v>1</v>
      </c>
      <c r="C3" s="32" t="s">
        <v>171</v>
      </c>
      <c r="D3" s="58">
        <v>38</v>
      </c>
    </row>
    <row r="4" spans="2:4" ht="17" customHeight="1" x14ac:dyDescent="0.45">
      <c r="B4" s="31">
        <v>2</v>
      </c>
      <c r="C4" s="32" t="s">
        <v>170</v>
      </c>
      <c r="D4" s="58">
        <v>28</v>
      </c>
    </row>
    <row r="5" spans="2:4" ht="17" customHeight="1" x14ac:dyDescent="0.45">
      <c r="B5" s="31">
        <v>3</v>
      </c>
      <c r="C5" s="32" t="s">
        <v>186</v>
      </c>
      <c r="D5" s="58">
        <v>40</v>
      </c>
    </row>
    <row r="6" spans="2:4" ht="17" customHeight="1" x14ac:dyDescent="0.45">
      <c r="B6" s="31">
        <v>4</v>
      </c>
      <c r="C6" s="32" t="s">
        <v>187</v>
      </c>
      <c r="D6" s="58">
        <v>42</v>
      </c>
    </row>
    <row r="7" spans="2:4" ht="17" customHeight="1" x14ac:dyDescent="0.45">
      <c r="B7" s="31">
        <v>5</v>
      </c>
      <c r="C7" s="32" t="s">
        <v>136</v>
      </c>
      <c r="D7" s="58">
        <v>30</v>
      </c>
    </row>
    <row r="8" spans="2:4" ht="17" customHeight="1" x14ac:dyDescent="0.45">
      <c r="B8" s="31">
        <v>6</v>
      </c>
      <c r="C8" s="32" t="s">
        <v>139</v>
      </c>
      <c r="D8" s="58">
        <v>40</v>
      </c>
    </row>
    <row r="9" spans="2:4" ht="17" customHeight="1" x14ac:dyDescent="0.45">
      <c r="B9" s="31">
        <v>7</v>
      </c>
      <c r="C9" s="32" t="s">
        <v>140</v>
      </c>
      <c r="D9" s="58">
        <v>28</v>
      </c>
    </row>
    <row r="10" spans="2:4" ht="17" customHeight="1" x14ac:dyDescent="0.45">
      <c r="B10" s="31">
        <v>8</v>
      </c>
      <c r="C10" s="32" t="s">
        <v>142</v>
      </c>
      <c r="D10" s="58">
        <v>52</v>
      </c>
    </row>
    <row r="11" spans="2:4" ht="17" customHeight="1" x14ac:dyDescent="0.45">
      <c r="B11" s="31">
        <v>9</v>
      </c>
      <c r="C11" s="32" t="s">
        <v>144</v>
      </c>
      <c r="D11" s="58">
        <v>27</v>
      </c>
    </row>
    <row r="12" spans="2:4" ht="17" customHeight="1" x14ac:dyDescent="0.45">
      <c r="B12" s="31">
        <v>10</v>
      </c>
      <c r="C12" s="32" t="s">
        <v>143</v>
      </c>
      <c r="D12" s="58">
        <v>22</v>
      </c>
    </row>
    <row r="13" spans="2:4" ht="17" customHeight="1" x14ac:dyDescent="0.45">
      <c r="B13" s="31">
        <v>11</v>
      </c>
      <c r="C13" s="32" t="s">
        <v>137</v>
      </c>
      <c r="D13" s="58">
        <v>45.5</v>
      </c>
    </row>
    <row r="14" spans="2:4" ht="17" customHeight="1" x14ac:dyDescent="0.45">
      <c r="B14" s="31">
        <v>12</v>
      </c>
      <c r="C14" s="32" t="s">
        <v>148</v>
      </c>
      <c r="D14" s="58">
        <v>32</v>
      </c>
    </row>
    <row r="15" spans="2:4" ht="17" customHeight="1" x14ac:dyDescent="0.45">
      <c r="B15" s="31">
        <v>13</v>
      </c>
      <c r="C15" s="32" t="s">
        <v>149</v>
      </c>
      <c r="D15" s="58">
        <v>33</v>
      </c>
    </row>
    <row r="16" spans="2:4" ht="17" customHeight="1" x14ac:dyDescent="0.45">
      <c r="B16" s="31">
        <v>14</v>
      </c>
      <c r="C16" s="32" t="s">
        <v>138</v>
      </c>
      <c r="D16" s="58">
        <v>28</v>
      </c>
    </row>
    <row r="17" spans="2:4" ht="17" customHeight="1" x14ac:dyDescent="0.45">
      <c r="B17" s="31">
        <v>15</v>
      </c>
      <c r="C17" s="32" t="s">
        <v>141</v>
      </c>
      <c r="D17" s="58">
        <v>31</v>
      </c>
    </row>
    <row r="18" spans="2:4" ht="17" customHeight="1" x14ac:dyDescent="0.45">
      <c r="B18" s="31">
        <v>16</v>
      </c>
      <c r="C18" s="32" t="s">
        <v>152</v>
      </c>
      <c r="D18" s="58">
        <v>41</v>
      </c>
    </row>
    <row r="19" spans="2:4" ht="17" customHeight="1" x14ac:dyDescent="0.45">
      <c r="B19" s="31">
        <v>17</v>
      </c>
      <c r="C19" s="32" t="s">
        <v>146</v>
      </c>
      <c r="D19" s="58">
        <v>49</v>
      </c>
    </row>
    <row r="20" spans="2:4" ht="17" customHeight="1" x14ac:dyDescent="0.45">
      <c r="B20" s="31">
        <v>18</v>
      </c>
      <c r="C20" s="32" t="s">
        <v>151</v>
      </c>
      <c r="D20" s="58">
        <v>62</v>
      </c>
    </row>
    <row r="21" spans="2:4" ht="17" customHeight="1" x14ac:dyDescent="0.45">
      <c r="B21" s="31">
        <v>19</v>
      </c>
      <c r="C21" s="32" t="s">
        <v>147</v>
      </c>
      <c r="D21" s="58">
        <v>50</v>
      </c>
    </row>
    <row r="22" spans="2:4" ht="17" customHeight="1" x14ac:dyDescent="0.45">
      <c r="B22" s="31">
        <v>20</v>
      </c>
      <c r="C22" s="32" t="s">
        <v>150</v>
      </c>
      <c r="D22" s="58">
        <v>28</v>
      </c>
    </row>
    <row r="23" spans="2:4" ht="17" customHeight="1" x14ac:dyDescent="0.45">
      <c r="B23" s="31">
        <v>21</v>
      </c>
      <c r="C23" s="32" t="s">
        <v>134</v>
      </c>
      <c r="D23" s="58">
        <v>50</v>
      </c>
    </row>
    <row r="24" spans="2:4" ht="17" customHeight="1" x14ac:dyDescent="0.45">
      <c r="B24" s="31">
        <v>22</v>
      </c>
      <c r="C24" s="32" t="s">
        <v>135</v>
      </c>
      <c r="D24" s="58">
        <v>45</v>
      </c>
    </row>
    <row r="25" spans="2:4" ht="17" customHeight="1" x14ac:dyDescent="0.45">
      <c r="B25" s="31">
        <v>23</v>
      </c>
      <c r="C25" s="32" t="s">
        <v>188</v>
      </c>
      <c r="D25" s="58">
        <v>18.5</v>
      </c>
    </row>
    <row r="26" spans="2:4" ht="17" customHeight="1" x14ac:dyDescent="0.45">
      <c r="B26" s="31">
        <v>24</v>
      </c>
      <c r="C26" s="32" t="s">
        <v>160</v>
      </c>
      <c r="D26" s="58">
        <v>15</v>
      </c>
    </row>
    <row r="27" spans="2:4" ht="17" customHeight="1" x14ac:dyDescent="0.45">
      <c r="B27" s="31">
        <v>25</v>
      </c>
      <c r="C27" s="32" t="s">
        <v>161</v>
      </c>
      <c r="D27" s="58">
        <v>19</v>
      </c>
    </row>
    <row r="28" spans="2:4" ht="17" customHeight="1" x14ac:dyDescent="0.45">
      <c r="B28" s="31">
        <v>26</v>
      </c>
      <c r="C28" s="32" t="s">
        <v>162</v>
      </c>
      <c r="D28" s="58">
        <v>21.9</v>
      </c>
    </row>
    <row r="29" spans="2:4" ht="17" customHeight="1" x14ac:dyDescent="0.45">
      <c r="B29" s="31">
        <v>27</v>
      </c>
      <c r="C29" s="32" t="s">
        <v>163</v>
      </c>
      <c r="D29" s="58">
        <v>20</v>
      </c>
    </row>
    <row r="30" spans="2:4" ht="17" customHeight="1" x14ac:dyDescent="0.45">
      <c r="B30" s="31">
        <v>28</v>
      </c>
      <c r="C30" s="32" t="s">
        <v>189</v>
      </c>
      <c r="D30" s="58">
        <v>16.5</v>
      </c>
    </row>
    <row r="31" spans="2:4" ht="17" customHeight="1" x14ac:dyDescent="0.45">
      <c r="B31" s="31">
        <v>29</v>
      </c>
      <c r="C31" s="32" t="s">
        <v>190</v>
      </c>
      <c r="D31" s="58">
        <v>14.8</v>
      </c>
    </row>
    <row r="32" spans="2:4" ht="17" customHeight="1" x14ac:dyDescent="0.45">
      <c r="B32" s="31">
        <v>30</v>
      </c>
      <c r="C32" s="32" t="s">
        <v>191</v>
      </c>
      <c r="D32" s="58">
        <v>15.5</v>
      </c>
    </row>
    <row r="33" spans="2:4" ht="17" customHeight="1" x14ac:dyDescent="0.45">
      <c r="B33" s="31">
        <v>31</v>
      </c>
      <c r="C33" s="32" t="s">
        <v>192</v>
      </c>
      <c r="D33" s="58">
        <v>20.9</v>
      </c>
    </row>
    <row r="34" spans="2:4" ht="17" customHeight="1" x14ac:dyDescent="0.45">
      <c r="B34" s="31">
        <v>32</v>
      </c>
      <c r="C34" s="32" t="s">
        <v>193</v>
      </c>
      <c r="D34" s="58">
        <v>19.2</v>
      </c>
    </row>
    <row r="35" spans="2:4" ht="17" customHeight="1" x14ac:dyDescent="0.45">
      <c r="B35" s="31">
        <v>33</v>
      </c>
      <c r="C35" s="32" t="s">
        <v>194</v>
      </c>
      <c r="D35" s="58">
        <v>16.5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4B63-8467-429B-9694-4AB5D97A8342}">
  <dimension ref="A2:O42"/>
  <sheetViews>
    <sheetView zoomScale="55" zoomScaleNormal="55" workbookViewId="0">
      <selection activeCell="B32" sqref="B32:B41"/>
    </sheetView>
  </sheetViews>
  <sheetFormatPr defaultRowHeight="14.25" x14ac:dyDescent="0.45"/>
  <cols>
    <col min="2" max="2" width="49.06640625" customWidth="1"/>
  </cols>
  <sheetData>
    <row r="2" spans="2:15" x14ac:dyDescent="0.45">
      <c r="B2" s="48" t="s">
        <v>132</v>
      </c>
      <c r="C2" s="50" t="s">
        <v>133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  <c r="O2" s="53" t="s">
        <v>80</v>
      </c>
    </row>
    <row r="3" spans="2:15" x14ac:dyDescent="0.45">
      <c r="B3" s="49"/>
      <c r="C3" s="21">
        <v>1</v>
      </c>
      <c r="D3" s="21">
        <v>2</v>
      </c>
      <c r="E3" s="21">
        <v>3</v>
      </c>
      <c r="F3" s="21">
        <v>4</v>
      </c>
      <c r="G3" s="21">
        <v>5</v>
      </c>
      <c r="H3" s="21">
        <v>6</v>
      </c>
      <c r="I3" s="21">
        <v>7</v>
      </c>
      <c r="J3" s="21">
        <v>8</v>
      </c>
      <c r="K3" s="21">
        <v>9</v>
      </c>
      <c r="L3" s="21">
        <v>10</v>
      </c>
      <c r="M3" s="21">
        <v>11</v>
      </c>
      <c r="N3" s="21">
        <v>12</v>
      </c>
      <c r="O3" s="49"/>
    </row>
    <row r="4" spans="2:15" x14ac:dyDescent="0.45">
      <c r="B4" s="22" t="s">
        <v>171</v>
      </c>
      <c r="C4" s="23">
        <v>38</v>
      </c>
      <c r="D4" s="23">
        <v>38</v>
      </c>
      <c r="E4" s="23">
        <v>27</v>
      </c>
      <c r="F4" s="23">
        <v>35</v>
      </c>
      <c r="G4" s="23">
        <v>10</v>
      </c>
      <c r="H4" s="23">
        <v>12</v>
      </c>
      <c r="I4" s="23">
        <v>6</v>
      </c>
      <c r="J4" s="23">
        <v>13</v>
      </c>
      <c r="K4" s="23">
        <v>11</v>
      </c>
      <c r="L4" s="23">
        <v>4</v>
      </c>
      <c r="M4" s="23">
        <v>7</v>
      </c>
      <c r="N4" s="23">
        <v>5</v>
      </c>
      <c r="O4" s="23">
        <f>SUM(C4:N4)</f>
        <v>206</v>
      </c>
    </row>
    <row r="5" spans="2:15" x14ac:dyDescent="0.45">
      <c r="B5" s="22" t="s">
        <v>170</v>
      </c>
      <c r="C5" s="23">
        <v>38</v>
      </c>
      <c r="D5" s="23">
        <v>38</v>
      </c>
      <c r="E5" s="23">
        <v>30</v>
      </c>
      <c r="F5" s="23">
        <v>29</v>
      </c>
      <c r="G5" s="23">
        <v>33</v>
      </c>
      <c r="H5" s="23">
        <v>29</v>
      </c>
      <c r="I5" s="23">
        <v>43</v>
      </c>
      <c r="J5" s="23">
        <v>46</v>
      </c>
      <c r="K5" s="23">
        <v>59</v>
      </c>
      <c r="L5" s="23">
        <v>42</v>
      </c>
      <c r="M5" s="23">
        <v>16</v>
      </c>
      <c r="N5" s="23">
        <v>17</v>
      </c>
      <c r="O5" s="23">
        <f t="shared" ref="O5:O26" si="0">SUM(C5:N5)</f>
        <v>420</v>
      </c>
    </row>
    <row r="6" spans="2:15" x14ac:dyDescent="0.45">
      <c r="B6" s="22" t="s">
        <v>172</v>
      </c>
      <c r="C6" s="23">
        <v>24</v>
      </c>
      <c r="D6" s="23">
        <v>17</v>
      </c>
      <c r="E6" s="23">
        <v>23</v>
      </c>
      <c r="F6" s="23">
        <v>18</v>
      </c>
      <c r="G6" s="23">
        <v>13</v>
      </c>
      <c r="H6" s="23">
        <v>2</v>
      </c>
      <c r="I6" s="23">
        <v>11</v>
      </c>
      <c r="J6" s="23">
        <v>18</v>
      </c>
      <c r="K6" s="23">
        <v>8</v>
      </c>
      <c r="L6" s="23">
        <v>2</v>
      </c>
      <c r="M6" s="23">
        <v>10</v>
      </c>
      <c r="N6" s="23">
        <v>2</v>
      </c>
      <c r="O6" s="23">
        <f t="shared" si="0"/>
        <v>148</v>
      </c>
    </row>
    <row r="7" spans="2:15" x14ac:dyDescent="0.45">
      <c r="B7" s="22" t="s">
        <v>173</v>
      </c>
      <c r="C7" s="23">
        <v>21</v>
      </c>
      <c r="D7" s="23">
        <v>12</v>
      </c>
      <c r="E7" s="23">
        <v>5</v>
      </c>
      <c r="F7" s="23">
        <v>5</v>
      </c>
      <c r="G7" s="23">
        <v>4</v>
      </c>
      <c r="H7" s="23">
        <v>4</v>
      </c>
      <c r="I7" s="23">
        <v>7</v>
      </c>
      <c r="J7" s="23">
        <v>10</v>
      </c>
      <c r="K7" s="23">
        <v>12</v>
      </c>
      <c r="L7" s="23">
        <v>11</v>
      </c>
      <c r="M7" s="23">
        <v>7</v>
      </c>
      <c r="N7" s="23">
        <v>9</v>
      </c>
      <c r="O7" s="23">
        <f t="shared" si="0"/>
        <v>107</v>
      </c>
    </row>
    <row r="8" spans="2:15" x14ac:dyDescent="0.45">
      <c r="B8" s="22" t="s">
        <v>136</v>
      </c>
      <c r="C8" s="23">
        <v>27</v>
      </c>
      <c r="D8" s="23">
        <v>16</v>
      </c>
      <c r="E8" s="23">
        <v>16</v>
      </c>
      <c r="F8" s="23">
        <v>26</v>
      </c>
      <c r="G8" s="23">
        <v>15</v>
      </c>
      <c r="H8" s="23">
        <v>19</v>
      </c>
      <c r="I8" s="23">
        <v>9</v>
      </c>
      <c r="J8" s="23">
        <v>20</v>
      </c>
      <c r="K8" s="23">
        <v>20</v>
      </c>
      <c r="L8" s="23">
        <v>21</v>
      </c>
      <c r="M8" s="23">
        <v>16</v>
      </c>
      <c r="N8" s="23">
        <v>14</v>
      </c>
      <c r="O8" s="23">
        <f t="shared" si="0"/>
        <v>219</v>
      </c>
    </row>
    <row r="9" spans="2:15" x14ac:dyDescent="0.45">
      <c r="B9" s="22" t="s">
        <v>137</v>
      </c>
      <c r="C9" s="23">
        <v>16</v>
      </c>
      <c r="D9" s="23">
        <v>18</v>
      </c>
      <c r="E9" s="23">
        <v>22</v>
      </c>
      <c r="F9" s="23">
        <v>18</v>
      </c>
      <c r="G9" s="23">
        <v>15</v>
      </c>
      <c r="H9" s="23">
        <v>14</v>
      </c>
      <c r="I9" s="23">
        <v>13</v>
      </c>
      <c r="J9" s="23">
        <v>22</v>
      </c>
      <c r="K9" s="23">
        <v>30</v>
      </c>
      <c r="L9" s="23">
        <v>14</v>
      </c>
      <c r="M9" s="23">
        <v>17</v>
      </c>
      <c r="N9" s="23">
        <v>14</v>
      </c>
      <c r="O9" s="23">
        <f t="shared" si="0"/>
        <v>213</v>
      </c>
    </row>
    <row r="10" spans="2:15" x14ac:dyDescent="0.45">
      <c r="B10" s="22" t="s">
        <v>138</v>
      </c>
      <c r="C10" s="23">
        <v>48</v>
      </c>
      <c r="D10" s="23">
        <v>14</v>
      </c>
      <c r="E10" s="23">
        <v>15</v>
      </c>
      <c r="F10" s="23">
        <v>30</v>
      </c>
      <c r="G10" s="23">
        <v>25</v>
      </c>
      <c r="H10" s="23">
        <v>28</v>
      </c>
      <c r="I10" s="23">
        <v>19</v>
      </c>
      <c r="J10" s="23">
        <v>17</v>
      </c>
      <c r="K10" s="23">
        <v>24</v>
      </c>
      <c r="L10" s="23">
        <v>30</v>
      </c>
      <c r="M10" s="23">
        <v>17</v>
      </c>
      <c r="N10" s="23">
        <v>30</v>
      </c>
      <c r="O10" s="23">
        <f t="shared" si="0"/>
        <v>297</v>
      </c>
    </row>
    <row r="11" spans="2:15" x14ac:dyDescent="0.45">
      <c r="B11" s="22" t="s">
        <v>139</v>
      </c>
      <c r="C11" s="23">
        <v>10</v>
      </c>
      <c r="D11" s="23">
        <v>10</v>
      </c>
      <c r="E11" s="23">
        <v>12</v>
      </c>
      <c r="F11" s="23">
        <v>11</v>
      </c>
      <c r="G11" s="23">
        <v>4</v>
      </c>
      <c r="H11" s="23">
        <v>1</v>
      </c>
      <c r="I11" s="23">
        <v>2</v>
      </c>
      <c r="J11" s="23">
        <v>2</v>
      </c>
      <c r="K11" s="23">
        <v>6</v>
      </c>
      <c r="L11" s="23">
        <v>15</v>
      </c>
      <c r="M11" s="23">
        <v>10</v>
      </c>
      <c r="N11" s="23">
        <v>16</v>
      </c>
      <c r="O11" s="23">
        <f t="shared" si="0"/>
        <v>99</v>
      </c>
    </row>
    <row r="12" spans="2:15" x14ac:dyDescent="0.45">
      <c r="B12" s="22" t="s">
        <v>140</v>
      </c>
      <c r="C12" s="23">
        <v>7</v>
      </c>
      <c r="D12" s="23">
        <v>12</v>
      </c>
      <c r="E12" s="23">
        <v>11</v>
      </c>
      <c r="F12" s="23">
        <v>6</v>
      </c>
      <c r="G12" s="23">
        <v>13</v>
      </c>
      <c r="H12" s="23">
        <v>12</v>
      </c>
      <c r="I12" s="23">
        <v>9</v>
      </c>
      <c r="J12" s="23">
        <v>16</v>
      </c>
      <c r="K12" s="23">
        <v>29</v>
      </c>
      <c r="L12" s="23">
        <v>18</v>
      </c>
      <c r="M12" s="23">
        <v>16</v>
      </c>
      <c r="N12" s="23">
        <v>7</v>
      </c>
      <c r="O12" s="23">
        <f t="shared" si="0"/>
        <v>156</v>
      </c>
    </row>
    <row r="13" spans="2:15" x14ac:dyDescent="0.45">
      <c r="B13" s="22" t="s">
        <v>174</v>
      </c>
      <c r="C13" s="23">
        <v>19</v>
      </c>
      <c r="D13" s="23">
        <v>18</v>
      </c>
      <c r="E13" s="23">
        <v>19</v>
      </c>
      <c r="F13" s="23">
        <v>19</v>
      </c>
      <c r="G13" s="23">
        <v>28</v>
      </c>
      <c r="H13" s="23">
        <v>24</v>
      </c>
      <c r="I13" s="23">
        <v>17</v>
      </c>
      <c r="J13" s="23">
        <v>20</v>
      </c>
      <c r="K13" s="23">
        <v>19</v>
      </c>
      <c r="L13" s="23">
        <v>21</v>
      </c>
      <c r="M13" s="23">
        <v>17</v>
      </c>
      <c r="N13" s="23">
        <v>28</v>
      </c>
      <c r="O13" s="23">
        <f t="shared" si="0"/>
        <v>249</v>
      </c>
    </row>
    <row r="14" spans="2:15" x14ac:dyDescent="0.45">
      <c r="B14" s="22" t="s">
        <v>142</v>
      </c>
      <c r="C14" s="23">
        <v>7</v>
      </c>
      <c r="D14" s="23">
        <v>6</v>
      </c>
      <c r="E14" s="23">
        <v>3</v>
      </c>
      <c r="F14" s="23">
        <v>2</v>
      </c>
      <c r="G14" s="23">
        <v>6</v>
      </c>
      <c r="H14" s="23">
        <v>10</v>
      </c>
      <c r="I14" s="23">
        <v>11</v>
      </c>
      <c r="J14" s="23">
        <v>15</v>
      </c>
      <c r="K14" s="23">
        <v>17</v>
      </c>
      <c r="L14" s="23">
        <v>9</v>
      </c>
      <c r="M14" s="23">
        <v>16</v>
      </c>
      <c r="N14" s="23">
        <v>11</v>
      </c>
      <c r="O14" s="23">
        <f t="shared" si="0"/>
        <v>113</v>
      </c>
    </row>
    <row r="15" spans="2:15" x14ac:dyDescent="0.45">
      <c r="B15" s="22" t="s">
        <v>143</v>
      </c>
      <c r="C15" s="23">
        <v>5</v>
      </c>
      <c r="D15" s="23">
        <v>5</v>
      </c>
      <c r="E15" s="23">
        <v>3</v>
      </c>
      <c r="F15" s="23">
        <v>2</v>
      </c>
      <c r="G15" s="23">
        <v>6</v>
      </c>
      <c r="H15" s="23">
        <v>4</v>
      </c>
      <c r="I15" s="23">
        <v>4</v>
      </c>
      <c r="J15" s="23">
        <v>1</v>
      </c>
      <c r="K15" s="23">
        <v>4</v>
      </c>
      <c r="L15" s="23">
        <v>7</v>
      </c>
      <c r="M15" s="23">
        <v>3</v>
      </c>
      <c r="N15" s="23">
        <v>3</v>
      </c>
      <c r="O15" s="23">
        <f t="shared" si="0"/>
        <v>47</v>
      </c>
    </row>
    <row r="16" spans="2:15" x14ac:dyDescent="0.45">
      <c r="B16" s="22" t="s">
        <v>144</v>
      </c>
      <c r="C16" s="23">
        <v>14</v>
      </c>
      <c r="D16" s="23">
        <v>27</v>
      </c>
      <c r="E16" s="23">
        <v>18</v>
      </c>
      <c r="F16" s="23">
        <v>29</v>
      </c>
      <c r="G16" s="23">
        <v>41</v>
      </c>
      <c r="H16" s="23">
        <v>19</v>
      </c>
      <c r="I16" s="23">
        <v>20</v>
      </c>
      <c r="J16" s="23">
        <v>25</v>
      </c>
      <c r="K16" s="23">
        <v>9</v>
      </c>
      <c r="L16" s="23">
        <v>16</v>
      </c>
      <c r="M16" s="23">
        <v>12</v>
      </c>
      <c r="N16" s="23">
        <v>14</v>
      </c>
      <c r="O16" s="23">
        <f t="shared" si="0"/>
        <v>244</v>
      </c>
    </row>
    <row r="17" spans="1:15" x14ac:dyDescent="0.45">
      <c r="B17" s="22" t="s">
        <v>145</v>
      </c>
      <c r="C17" s="23">
        <v>6</v>
      </c>
      <c r="D17" s="23">
        <v>8</v>
      </c>
      <c r="E17" s="23">
        <v>12</v>
      </c>
      <c r="F17" s="23">
        <v>3</v>
      </c>
      <c r="G17" s="23">
        <v>2</v>
      </c>
      <c r="H17" s="23">
        <v>5</v>
      </c>
      <c r="I17" s="23">
        <v>6</v>
      </c>
      <c r="J17" s="23">
        <v>9</v>
      </c>
      <c r="K17" s="23">
        <v>12</v>
      </c>
      <c r="L17" s="23">
        <v>9</v>
      </c>
      <c r="M17" s="23">
        <v>6</v>
      </c>
      <c r="N17" s="23">
        <v>8</v>
      </c>
      <c r="O17" s="23">
        <f t="shared" si="0"/>
        <v>86</v>
      </c>
    </row>
    <row r="18" spans="1:15" x14ac:dyDescent="0.45">
      <c r="B18" s="22" t="s">
        <v>175</v>
      </c>
      <c r="C18" s="23">
        <v>18</v>
      </c>
      <c r="D18" s="23">
        <v>33</v>
      </c>
      <c r="E18" s="23">
        <v>37</v>
      </c>
      <c r="F18" s="23">
        <v>32</v>
      </c>
      <c r="G18" s="23">
        <v>42</v>
      </c>
      <c r="H18" s="23">
        <v>24</v>
      </c>
      <c r="I18" s="23">
        <v>26</v>
      </c>
      <c r="J18" s="23">
        <v>29</v>
      </c>
      <c r="K18" s="23">
        <v>28</v>
      </c>
      <c r="L18" s="23">
        <v>48</v>
      </c>
      <c r="M18" s="23">
        <v>22</v>
      </c>
      <c r="N18" s="23">
        <v>18</v>
      </c>
      <c r="O18" s="23">
        <f t="shared" si="0"/>
        <v>357</v>
      </c>
    </row>
    <row r="19" spans="1:15" x14ac:dyDescent="0.45">
      <c r="B19" s="22" t="s">
        <v>176</v>
      </c>
      <c r="C19" s="23">
        <v>18</v>
      </c>
      <c r="D19" s="23">
        <v>25</v>
      </c>
      <c r="E19" s="23">
        <v>11</v>
      </c>
      <c r="F19" s="23">
        <v>32</v>
      </c>
      <c r="G19" s="23">
        <v>14</v>
      </c>
      <c r="H19" s="23">
        <v>19</v>
      </c>
      <c r="I19" s="23">
        <v>13</v>
      </c>
      <c r="J19" s="23">
        <v>16</v>
      </c>
      <c r="K19" s="23">
        <v>31</v>
      </c>
      <c r="L19" s="23">
        <v>21</v>
      </c>
      <c r="M19" s="23">
        <v>28</v>
      </c>
      <c r="N19" s="23">
        <v>15</v>
      </c>
      <c r="O19" s="23">
        <f t="shared" si="0"/>
        <v>243</v>
      </c>
    </row>
    <row r="20" spans="1:15" x14ac:dyDescent="0.45">
      <c r="B20" s="22" t="s">
        <v>177</v>
      </c>
      <c r="C20" s="23">
        <v>6</v>
      </c>
      <c r="D20" s="23">
        <v>11</v>
      </c>
      <c r="E20" s="23">
        <v>7</v>
      </c>
      <c r="F20" s="23">
        <v>16</v>
      </c>
      <c r="G20" s="23">
        <v>9</v>
      </c>
      <c r="H20" s="23">
        <v>5</v>
      </c>
      <c r="I20" s="23">
        <v>10</v>
      </c>
      <c r="J20" s="23">
        <v>12</v>
      </c>
      <c r="K20" s="23">
        <v>11</v>
      </c>
      <c r="L20" s="23">
        <v>22</v>
      </c>
      <c r="M20" s="23">
        <v>19</v>
      </c>
      <c r="N20" s="23">
        <v>16</v>
      </c>
      <c r="O20" s="23">
        <f t="shared" si="0"/>
        <v>144</v>
      </c>
    </row>
    <row r="21" spans="1:15" x14ac:dyDescent="0.45">
      <c r="B21" s="22" t="s">
        <v>178</v>
      </c>
      <c r="C21" s="23">
        <v>16</v>
      </c>
      <c r="D21" s="23">
        <v>10</v>
      </c>
      <c r="E21" s="23">
        <v>16</v>
      </c>
      <c r="F21" s="23">
        <v>9</v>
      </c>
      <c r="G21" s="23">
        <v>11</v>
      </c>
      <c r="H21" s="23">
        <v>24</v>
      </c>
      <c r="I21" s="23">
        <v>7</v>
      </c>
      <c r="J21" s="23">
        <v>20</v>
      </c>
      <c r="K21" s="23">
        <v>10</v>
      </c>
      <c r="L21" s="23">
        <v>26</v>
      </c>
      <c r="M21" s="23">
        <v>10</v>
      </c>
      <c r="N21" s="23">
        <v>16</v>
      </c>
      <c r="O21" s="23">
        <f t="shared" si="0"/>
        <v>175</v>
      </c>
    </row>
    <row r="22" spans="1:15" x14ac:dyDescent="0.45">
      <c r="B22" s="22" t="s">
        <v>179</v>
      </c>
      <c r="C22" s="23">
        <v>26</v>
      </c>
      <c r="D22" s="23">
        <v>43</v>
      </c>
      <c r="E22" s="23">
        <v>38</v>
      </c>
      <c r="F22" s="23">
        <v>13</v>
      </c>
      <c r="G22" s="23">
        <v>25</v>
      </c>
      <c r="H22" s="23">
        <v>40</v>
      </c>
      <c r="I22" s="23">
        <v>24</v>
      </c>
      <c r="J22" s="23">
        <v>33</v>
      </c>
      <c r="K22" s="23">
        <v>16</v>
      </c>
      <c r="L22" s="23">
        <v>20</v>
      </c>
      <c r="M22" s="23">
        <v>27</v>
      </c>
      <c r="N22" s="23">
        <v>20</v>
      </c>
      <c r="O22" s="23">
        <f t="shared" si="0"/>
        <v>325</v>
      </c>
    </row>
    <row r="23" spans="1:15" x14ac:dyDescent="0.45">
      <c r="B23" s="22" t="s">
        <v>180</v>
      </c>
      <c r="C23" s="23">
        <v>40</v>
      </c>
      <c r="D23" s="23">
        <v>42</v>
      </c>
      <c r="E23" s="23">
        <v>29</v>
      </c>
      <c r="F23" s="23">
        <v>55</v>
      </c>
      <c r="G23" s="23">
        <v>14</v>
      </c>
      <c r="H23" s="23">
        <v>20</v>
      </c>
      <c r="I23" s="23">
        <v>21</v>
      </c>
      <c r="J23" s="23">
        <v>49</v>
      </c>
      <c r="K23" s="23">
        <v>63</v>
      </c>
      <c r="L23" s="23">
        <v>38</v>
      </c>
      <c r="M23" s="23">
        <v>33</v>
      </c>
      <c r="N23" s="23">
        <v>40</v>
      </c>
      <c r="O23" s="23">
        <f t="shared" si="0"/>
        <v>444</v>
      </c>
    </row>
    <row r="24" spans="1:15" x14ac:dyDescent="0.45">
      <c r="B24" s="22" t="s">
        <v>181</v>
      </c>
      <c r="C24" s="23">
        <v>22</v>
      </c>
      <c r="D24" s="23">
        <v>20</v>
      </c>
      <c r="E24" s="23">
        <v>22</v>
      </c>
      <c r="F24" s="23">
        <v>27</v>
      </c>
      <c r="G24" s="23">
        <v>17</v>
      </c>
      <c r="H24" s="23">
        <v>12</v>
      </c>
      <c r="I24" s="23">
        <v>9</v>
      </c>
      <c r="J24" s="23">
        <v>8</v>
      </c>
      <c r="K24" s="23">
        <v>0</v>
      </c>
      <c r="L24" s="23">
        <v>13</v>
      </c>
      <c r="M24" s="23">
        <v>12</v>
      </c>
      <c r="N24" s="23">
        <v>12</v>
      </c>
      <c r="O24" s="23">
        <f t="shared" si="0"/>
        <v>174</v>
      </c>
    </row>
    <row r="25" spans="1:15" x14ac:dyDescent="0.45">
      <c r="B25" s="22" t="s">
        <v>182</v>
      </c>
      <c r="C25" s="23">
        <v>13</v>
      </c>
      <c r="D25" s="23">
        <v>6</v>
      </c>
      <c r="E25" s="23">
        <v>15</v>
      </c>
      <c r="F25" s="23">
        <v>16</v>
      </c>
      <c r="G25" s="23">
        <v>6</v>
      </c>
      <c r="H25" s="23">
        <v>16</v>
      </c>
      <c r="I25" s="23">
        <v>2</v>
      </c>
      <c r="J25" s="23">
        <v>14</v>
      </c>
      <c r="K25" s="23">
        <v>7</v>
      </c>
      <c r="L25" s="23">
        <v>2</v>
      </c>
      <c r="M25" s="23">
        <v>11</v>
      </c>
      <c r="N25" s="23">
        <v>11</v>
      </c>
      <c r="O25" s="23">
        <f t="shared" si="0"/>
        <v>119</v>
      </c>
    </row>
    <row r="26" spans="1:15" x14ac:dyDescent="0.45">
      <c r="B26" s="22" t="s">
        <v>183</v>
      </c>
      <c r="C26" s="23">
        <v>18</v>
      </c>
      <c r="D26" s="23">
        <v>13</v>
      </c>
      <c r="E26" s="23">
        <v>15</v>
      </c>
      <c r="F26" s="23">
        <v>5</v>
      </c>
      <c r="G26" s="23">
        <v>21</v>
      </c>
      <c r="H26" s="23">
        <v>9</v>
      </c>
      <c r="I26" s="23">
        <v>4</v>
      </c>
      <c r="J26" s="23">
        <v>1</v>
      </c>
      <c r="K26" s="23">
        <v>8</v>
      </c>
      <c r="L26" s="23">
        <v>8</v>
      </c>
      <c r="M26" s="23">
        <v>4</v>
      </c>
      <c r="N26" s="23">
        <v>3</v>
      </c>
      <c r="O26" s="23">
        <f t="shared" si="0"/>
        <v>109</v>
      </c>
    </row>
    <row r="27" spans="1:15" x14ac:dyDescent="0.45">
      <c r="B27" s="24" t="s">
        <v>80</v>
      </c>
      <c r="C27" s="23">
        <f>SUM(C4:C26)</f>
        <v>457</v>
      </c>
      <c r="D27" s="23">
        <f t="shared" ref="D27:N27" si="1">SUM(D4:D26)</f>
        <v>442</v>
      </c>
      <c r="E27" s="23">
        <f t="shared" si="1"/>
        <v>406</v>
      </c>
      <c r="F27" s="23">
        <f t="shared" si="1"/>
        <v>438</v>
      </c>
      <c r="G27" s="23">
        <f t="shared" si="1"/>
        <v>374</v>
      </c>
      <c r="H27" s="23">
        <f t="shared" si="1"/>
        <v>352</v>
      </c>
      <c r="I27" s="23">
        <f t="shared" si="1"/>
        <v>293</v>
      </c>
      <c r="J27" s="23">
        <f t="shared" si="1"/>
        <v>416</v>
      </c>
      <c r="K27" s="23">
        <f t="shared" si="1"/>
        <v>434</v>
      </c>
      <c r="L27" s="23">
        <f t="shared" si="1"/>
        <v>417</v>
      </c>
      <c r="M27" s="23">
        <f t="shared" si="1"/>
        <v>336</v>
      </c>
      <c r="N27" s="23">
        <f t="shared" si="1"/>
        <v>329</v>
      </c>
      <c r="O27" s="23">
        <f>SUM(O4:O26)</f>
        <v>4694</v>
      </c>
    </row>
    <row r="30" spans="1:15" x14ac:dyDescent="0.45">
      <c r="A30" s="54"/>
      <c r="B30" s="56" t="s">
        <v>132</v>
      </c>
      <c r="C30" s="56" t="s">
        <v>133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6" t="s">
        <v>80</v>
      </c>
    </row>
    <row r="31" spans="1:15" x14ac:dyDescent="0.45">
      <c r="A31" s="55"/>
      <c r="B31" s="57"/>
      <c r="C31" s="40">
        <v>1</v>
      </c>
      <c r="D31" s="40">
        <v>2</v>
      </c>
      <c r="E31" s="40">
        <v>3</v>
      </c>
      <c r="F31" s="40">
        <v>4</v>
      </c>
      <c r="G31" s="40">
        <v>5</v>
      </c>
      <c r="H31" s="40">
        <v>6</v>
      </c>
      <c r="I31" s="40">
        <v>7</v>
      </c>
      <c r="J31" s="40">
        <v>8</v>
      </c>
      <c r="K31" s="40">
        <v>9</v>
      </c>
      <c r="L31" s="40">
        <v>10</v>
      </c>
      <c r="M31" s="40">
        <v>11</v>
      </c>
      <c r="N31" s="40">
        <v>12</v>
      </c>
      <c r="O31" s="57"/>
    </row>
    <row r="32" spans="1:15" x14ac:dyDescent="0.45">
      <c r="A32" s="34"/>
      <c r="B32" s="35" t="s">
        <v>160</v>
      </c>
      <c r="C32" s="35">
        <v>20</v>
      </c>
      <c r="D32" s="35">
        <v>31</v>
      </c>
      <c r="E32" s="35">
        <v>27</v>
      </c>
      <c r="F32" s="35">
        <v>44</v>
      </c>
      <c r="G32" s="35">
        <v>34</v>
      </c>
      <c r="H32" s="35">
        <v>33</v>
      </c>
      <c r="I32" s="35">
        <v>50</v>
      </c>
      <c r="J32" s="35">
        <v>40</v>
      </c>
      <c r="K32" s="35">
        <v>35</v>
      </c>
      <c r="L32" s="35">
        <v>47</v>
      </c>
      <c r="M32" s="35">
        <v>50</v>
      </c>
      <c r="N32" s="35">
        <v>23</v>
      </c>
      <c r="O32" s="35">
        <f t="shared" ref="O32:O41" si="2">SUM(C32:N32)</f>
        <v>434</v>
      </c>
    </row>
    <row r="33" spans="1:15" x14ac:dyDescent="0.45">
      <c r="A33" s="34"/>
      <c r="B33" s="35" t="s">
        <v>161</v>
      </c>
      <c r="C33" s="35">
        <v>24</v>
      </c>
      <c r="D33" s="35">
        <v>30</v>
      </c>
      <c r="E33" s="35">
        <v>20</v>
      </c>
      <c r="F33" s="35">
        <v>24</v>
      </c>
      <c r="G33" s="35">
        <v>17</v>
      </c>
      <c r="H33" s="35">
        <v>14</v>
      </c>
      <c r="I33" s="35">
        <v>9</v>
      </c>
      <c r="J33" s="35">
        <v>29</v>
      </c>
      <c r="K33" s="35">
        <v>23</v>
      </c>
      <c r="L33" s="35">
        <v>25</v>
      </c>
      <c r="M33" s="35">
        <v>21</v>
      </c>
      <c r="N33" s="35">
        <v>8</v>
      </c>
      <c r="O33" s="35">
        <f t="shared" si="2"/>
        <v>244</v>
      </c>
    </row>
    <row r="34" spans="1:15" x14ac:dyDescent="0.45">
      <c r="A34" s="34"/>
      <c r="B34" s="35" t="s">
        <v>162</v>
      </c>
      <c r="C34" s="35">
        <v>21</v>
      </c>
      <c r="D34" s="35">
        <v>39</v>
      </c>
      <c r="E34" s="35">
        <v>34</v>
      </c>
      <c r="F34" s="35">
        <v>28</v>
      </c>
      <c r="G34" s="35">
        <v>24</v>
      </c>
      <c r="H34" s="35">
        <v>22</v>
      </c>
      <c r="I34" s="35">
        <v>21</v>
      </c>
      <c r="J34" s="35">
        <v>30</v>
      </c>
      <c r="K34" s="35">
        <v>16</v>
      </c>
      <c r="L34" s="35">
        <v>29</v>
      </c>
      <c r="M34" s="35">
        <v>27</v>
      </c>
      <c r="N34" s="35">
        <v>31</v>
      </c>
      <c r="O34" s="35">
        <f t="shared" si="2"/>
        <v>322</v>
      </c>
    </row>
    <row r="35" spans="1:15" x14ac:dyDescent="0.45">
      <c r="A35" s="34"/>
      <c r="B35" s="35" t="s">
        <v>163</v>
      </c>
      <c r="C35" s="35">
        <v>22</v>
      </c>
      <c r="D35" s="35">
        <v>24</v>
      </c>
      <c r="E35" s="35">
        <v>34</v>
      </c>
      <c r="F35" s="35">
        <v>35</v>
      </c>
      <c r="G35" s="35">
        <v>29</v>
      </c>
      <c r="H35" s="35">
        <v>35</v>
      </c>
      <c r="I35" s="35">
        <v>32</v>
      </c>
      <c r="J35" s="35">
        <v>38</v>
      </c>
      <c r="K35" s="35">
        <v>34</v>
      </c>
      <c r="L35" s="35">
        <v>24</v>
      </c>
      <c r="M35" s="35">
        <v>22</v>
      </c>
      <c r="N35" s="35">
        <v>25</v>
      </c>
      <c r="O35" s="35">
        <f t="shared" si="2"/>
        <v>354</v>
      </c>
    </row>
    <row r="36" spans="1:15" x14ac:dyDescent="0.45">
      <c r="A36" s="34"/>
      <c r="B36" s="35" t="s">
        <v>164</v>
      </c>
      <c r="C36" s="35">
        <v>36</v>
      </c>
      <c r="D36" s="35">
        <v>44</v>
      </c>
      <c r="E36" s="35">
        <v>35</v>
      </c>
      <c r="F36" s="35">
        <v>34</v>
      </c>
      <c r="G36" s="35">
        <v>25</v>
      </c>
      <c r="H36" s="35">
        <v>26</v>
      </c>
      <c r="I36" s="35">
        <v>27</v>
      </c>
      <c r="J36" s="35">
        <v>35</v>
      </c>
      <c r="K36" s="35">
        <v>30</v>
      </c>
      <c r="L36" s="35">
        <v>28</v>
      </c>
      <c r="M36" s="35">
        <v>28</v>
      </c>
      <c r="N36" s="35">
        <v>35</v>
      </c>
      <c r="O36" s="35">
        <f t="shared" si="2"/>
        <v>383</v>
      </c>
    </row>
    <row r="37" spans="1:15" x14ac:dyDescent="0.45">
      <c r="A37" s="34"/>
      <c r="B37" s="35" t="s">
        <v>165</v>
      </c>
      <c r="C37" s="35">
        <v>16</v>
      </c>
      <c r="D37" s="35">
        <v>26</v>
      </c>
      <c r="E37" s="35">
        <v>27</v>
      </c>
      <c r="F37" s="35">
        <v>12</v>
      </c>
      <c r="G37" s="35">
        <v>10</v>
      </c>
      <c r="H37" s="35">
        <v>24</v>
      </c>
      <c r="I37" s="35">
        <v>17</v>
      </c>
      <c r="J37" s="35">
        <v>23</v>
      </c>
      <c r="K37" s="35">
        <v>16</v>
      </c>
      <c r="L37" s="35">
        <v>21</v>
      </c>
      <c r="M37" s="35">
        <v>11</v>
      </c>
      <c r="N37" s="35">
        <v>33</v>
      </c>
      <c r="O37" s="35">
        <f t="shared" si="2"/>
        <v>236</v>
      </c>
    </row>
    <row r="38" spans="1:15" x14ac:dyDescent="0.45">
      <c r="A38" s="34"/>
      <c r="B38" s="35" t="s">
        <v>166</v>
      </c>
      <c r="C38" s="35">
        <v>17</v>
      </c>
      <c r="D38" s="35">
        <v>32</v>
      </c>
      <c r="E38" s="35">
        <v>23</v>
      </c>
      <c r="F38" s="35">
        <v>32</v>
      </c>
      <c r="G38" s="35">
        <v>15</v>
      </c>
      <c r="H38" s="35">
        <v>17</v>
      </c>
      <c r="I38" s="35">
        <v>19</v>
      </c>
      <c r="J38" s="35">
        <v>17</v>
      </c>
      <c r="K38" s="35">
        <v>12</v>
      </c>
      <c r="L38" s="35">
        <v>30</v>
      </c>
      <c r="M38" s="35">
        <v>20</v>
      </c>
      <c r="N38" s="35">
        <v>29</v>
      </c>
      <c r="O38" s="35">
        <f t="shared" si="2"/>
        <v>263</v>
      </c>
    </row>
    <row r="39" spans="1:15" x14ac:dyDescent="0.45">
      <c r="A39" s="34"/>
      <c r="B39" s="35" t="s">
        <v>167</v>
      </c>
      <c r="C39" s="35">
        <v>34</v>
      </c>
      <c r="D39" s="35">
        <v>47</v>
      </c>
      <c r="E39" s="35">
        <v>52</v>
      </c>
      <c r="F39" s="35">
        <v>45</v>
      </c>
      <c r="G39" s="35">
        <v>36</v>
      </c>
      <c r="H39" s="35">
        <v>28</v>
      </c>
      <c r="I39" s="35">
        <v>29</v>
      </c>
      <c r="J39" s="35">
        <v>23</v>
      </c>
      <c r="K39" s="35">
        <v>22</v>
      </c>
      <c r="L39" s="35">
        <v>17</v>
      </c>
      <c r="M39" s="35">
        <v>22</v>
      </c>
      <c r="N39" s="35">
        <v>30</v>
      </c>
      <c r="O39" s="35">
        <f t="shared" si="2"/>
        <v>385</v>
      </c>
    </row>
    <row r="40" spans="1:15" x14ac:dyDescent="0.45">
      <c r="A40" s="34"/>
      <c r="B40" s="35" t="s">
        <v>168</v>
      </c>
      <c r="C40" s="35">
        <v>32</v>
      </c>
      <c r="D40" s="35">
        <v>41</v>
      </c>
      <c r="E40" s="35">
        <v>30</v>
      </c>
      <c r="F40" s="35">
        <v>24</v>
      </c>
      <c r="G40" s="35">
        <v>30</v>
      </c>
      <c r="H40" s="35">
        <v>30</v>
      </c>
      <c r="I40" s="35">
        <v>26</v>
      </c>
      <c r="J40" s="35">
        <v>30</v>
      </c>
      <c r="K40" s="35">
        <v>28</v>
      </c>
      <c r="L40" s="35">
        <v>26</v>
      </c>
      <c r="M40" s="35">
        <v>26</v>
      </c>
      <c r="N40" s="35">
        <v>24</v>
      </c>
      <c r="O40" s="35">
        <f t="shared" si="2"/>
        <v>347</v>
      </c>
    </row>
    <row r="41" spans="1:15" x14ac:dyDescent="0.45">
      <c r="A41" s="34"/>
      <c r="B41" s="35" t="s">
        <v>169</v>
      </c>
      <c r="C41" s="35">
        <v>27</v>
      </c>
      <c r="D41" s="35">
        <v>55</v>
      </c>
      <c r="E41" s="35">
        <v>51</v>
      </c>
      <c r="F41" s="35">
        <v>44</v>
      </c>
      <c r="G41" s="35">
        <v>35</v>
      </c>
      <c r="H41" s="35">
        <v>37</v>
      </c>
      <c r="I41" s="35">
        <v>25</v>
      </c>
      <c r="J41" s="35">
        <v>61</v>
      </c>
      <c r="K41" s="35">
        <v>31</v>
      </c>
      <c r="L41" s="35">
        <v>20</v>
      </c>
      <c r="M41" s="35">
        <v>24</v>
      </c>
      <c r="N41" s="35">
        <v>39</v>
      </c>
      <c r="O41" s="35">
        <f t="shared" si="2"/>
        <v>449</v>
      </c>
    </row>
    <row r="42" spans="1:15" x14ac:dyDescent="0.45">
      <c r="A42" s="38"/>
      <c r="B42" s="39"/>
      <c r="C42" s="39">
        <f>SUM(C32:C41)</f>
        <v>249</v>
      </c>
      <c r="D42" s="39">
        <f>SUM(D32:D41)</f>
        <v>369</v>
      </c>
      <c r="E42" s="39">
        <f t="shared" ref="E42:O42" si="3">SUM(E32:E41)</f>
        <v>333</v>
      </c>
      <c r="F42" s="39">
        <f t="shared" si="3"/>
        <v>322</v>
      </c>
      <c r="G42" s="39">
        <f t="shared" si="3"/>
        <v>255</v>
      </c>
      <c r="H42" s="39">
        <f t="shared" si="3"/>
        <v>266</v>
      </c>
      <c r="I42" s="39">
        <f t="shared" si="3"/>
        <v>255</v>
      </c>
      <c r="J42" s="39">
        <f t="shared" si="3"/>
        <v>326</v>
      </c>
      <c r="K42" s="39">
        <f t="shared" si="3"/>
        <v>247</v>
      </c>
      <c r="L42" s="39">
        <f t="shared" si="3"/>
        <v>267</v>
      </c>
      <c r="M42" s="39">
        <f t="shared" si="3"/>
        <v>251</v>
      </c>
      <c r="N42" s="39">
        <f t="shared" si="3"/>
        <v>277</v>
      </c>
      <c r="O42" s="39">
        <f t="shared" si="3"/>
        <v>3417</v>
      </c>
    </row>
  </sheetData>
  <mergeCells count="7">
    <mergeCell ref="B2:B3"/>
    <mergeCell ref="C2:N2"/>
    <mergeCell ref="O2:O3"/>
    <mergeCell ref="A30:A31"/>
    <mergeCell ref="B30:B31"/>
    <mergeCell ref="C30:N30"/>
    <mergeCell ref="O30:O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2" sqref="D12"/>
    </sheetView>
  </sheetViews>
  <sheetFormatPr defaultColWidth="8.6640625" defaultRowHeight="14.25" x14ac:dyDescent="0.45"/>
  <cols>
    <col min="1" max="1" width="6" customWidth="1"/>
    <col min="2" max="2" width="30" customWidth="1"/>
    <col min="3" max="3" width="8" customWidth="1"/>
    <col min="4" max="11" width="9" customWidth="1"/>
    <col min="12" max="12" width="11.86328125" customWidth="1"/>
    <col min="13" max="13" width="10.265625" customWidth="1"/>
    <col min="14" max="14" width="9.86328125" customWidth="1"/>
    <col min="15" max="15" width="10.73046875" customWidth="1"/>
    <col min="16" max="16" width="10" customWidth="1"/>
    <col min="17" max="17" width="55" customWidth="1"/>
  </cols>
  <sheetData>
    <row r="1" spans="1:17" ht="31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2" t="s">
        <v>17</v>
      </c>
      <c r="B2" s="2" t="s">
        <v>18</v>
      </c>
      <c r="C2" s="2" t="s">
        <v>19</v>
      </c>
      <c r="D2" s="43">
        <f>(('Bill of Material'!E3*'Data Penjualan'!$C$27)+('Bill of Material'!F3*'Data Penjualan'!$C$42))/1000</f>
        <v>21.268000000000001</v>
      </c>
      <c r="E2" s="43">
        <f>(('Bill of Material'!E3*'Data Penjualan'!$D$27)+('Bill of Material'!F3*'Data Penjualan'!$D$42))/1000</f>
        <v>22.108000000000001</v>
      </c>
      <c r="F2" s="3">
        <f>(('Bill of Material'!E3*'Data Penjualan'!$E$27)+('Bill of Material'!F3*'Data Penjualan'!$E$42))/1000</f>
        <v>20.236000000000001</v>
      </c>
      <c r="G2" s="3">
        <f>(('Bill of Material'!E3*'Data Penjualan'!$F$27)+('Bill of Material'!F3*'Data Penjualan'!$F$42))/1000</f>
        <v>21.384</v>
      </c>
      <c r="H2" s="3">
        <f>(('Bill of Material'!E3*'Data Penjualan'!$G$27)+('Bill of Material'!F3*'Data Penjualan'!$G$42))/1000</f>
        <v>18.02</v>
      </c>
      <c r="I2" s="3">
        <f>(('Bill of Material'!E3*'Data Penjualan'!$H$27)+('Bill of Material'!F3*'Data Penjualan'!$H$42))/1000</f>
        <v>17.271999999999998</v>
      </c>
      <c r="J2" s="3">
        <f>(('Bill of Material'!E3*'Data Penjualan'!$I$27)+('Bill of Material'!F3*'Data Penjualan'!$I$42))/1000</f>
        <v>14.78</v>
      </c>
      <c r="K2" s="3">
        <f>(('Bill of Material'!E3*'Data Penjualan'!$J$27)+('Bill of Material'!F3*'Data Penjualan'!$J$42))/1000</f>
        <v>20.552</v>
      </c>
      <c r="L2" s="3">
        <f>(('Bill of Material'!E3*'Data Penjualan'!$K$27)+('Bill of Material'!F3*'Data Penjualan'!$K$42))/1000</f>
        <v>20.324000000000002</v>
      </c>
      <c r="M2" s="3">
        <f>(('Bill of Material'!E3*'Data Penjualan'!$L$27)+('Bill of Material'!F3*'Data Penjualan'!$L$42))/1000</f>
        <v>19.884</v>
      </c>
      <c r="N2" s="3">
        <f>(('Bill of Material'!E3*'Data Penjualan'!$M$27)+('Bill of Material'!F3*'Data Penjualan'!$M$42))/1000</f>
        <v>16.452000000000002</v>
      </c>
      <c r="O2" s="3">
        <f>(('Bill of Material'!E3*'Data Penjualan'!$N$27)+('Bill of Material'!F3*'Data Penjualan'!$N$42))/1000</f>
        <v>16.484000000000002</v>
      </c>
      <c r="P2" s="4">
        <f t="shared" ref="P2:P11" si="0">SUM(D2:O2)</f>
        <v>228.76400000000004</v>
      </c>
      <c r="Q2" s="5" t="s">
        <v>20</v>
      </c>
    </row>
    <row r="3" spans="1:17" x14ac:dyDescent="0.45">
      <c r="A3" s="2" t="s">
        <v>21</v>
      </c>
      <c r="B3" s="2" t="s">
        <v>22</v>
      </c>
      <c r="C3" s="2" t="s">
        <v>19</v>
      </c>
      <c r="D3" s="3">
        <f>(('Bill of Material'!E4*'Data Penjualan'!$C$27)+('Bill of Material'!F4*'Data Penjualan'!$C$42))/1000</f>
        <v>11.6974</v>
      </c>
      <c r="E3" s="3">
        <f>(('Bill of Material'!E4*'Data Penjualan'!$D$27)+('Bill of Material'!F4*'Data Penjualan'!$D$42))/1000</f>
        <v>12.1594</v>
      </c>
      <c r="F3" s="3">
        <f>(('Bill of Material'!E4*'Data Penjualan'!$E$27)+('Bill of Material'!F4*'Data Penjualan'!$E$42))/1000</f>
        <v>11.129799999999999</v>
      </c>
      <c r="G3" s="3">
        <f>(('Bill of Material'!E4*'Data Penjualan'!$F$27)+('Bill of Material'!F4*'Data Penjualan'!$F$42))/1000</f>
        <v>11.761200000000001</v>
      </c>
      <c r="H3" s="3">
        <f>(('Bill of Material'!E4*'Data Penjualan'!$G$27)+('Bill of Material'!F4*'Data Penjualan'!$G$42))/1000</f>
        <v>9.9109999999999996</v>
      </c>
      <c r="I3" s="3">
        <f>(('Bill of Material'!E4*'Data Penjualan'!$H$27)+('Bill of Material'!F4*'Data Penjualan'!$H$42))/1000</f>
        <v>9.4996000000000009</v>
      </c>
      <c r="J3" s="3">
        <f>(('Bill of Material'!E4*'Data Penjualan'!$I$27)+('Bill of Material'!F4*'Data Penjualan'!$I$42))/1000</f>
        <v>8.1289999999999996</v>
      </c>
      <c r="K3" s="3">
        <f>(('Bill of Material'!E4*'Data Penjualan'!$J$27)+('Bill of Material'!F4*'Data Penjualan'!$J$42))/1000</f>
        <v>11.303600000000001</v>
      </c>
      <c r="L3" s="3">
        <f>(('Bill of Material'!E4*'Data Penjualan'!$K$27)+('Bill of Material'!F4*'Data Penjualan'!$K$42))/1000</f>
        <v>11.1782</v>
      </c>
      <c r="M3" s="3">
        <f>(('Bill of Material'!E4*'Data Penjualan'!$L$27)+('Bill of Material'!F4*'Data Penjualan'!$L$42))/1000</f>
        <v>10.936200000000001</v>
      </c>
      <c r="N3" s="3">
        <f>(('Bill of Material'!E4*'Data Penjualan'!$M$27)+('Bill of Material'!F4*'Data Penjualan'!$M$42))/1000</f>
        <v>9.0486000000000004</v>
      </c>
      <c r="O3" s="3">
        <f>(('Bill of Material'!E4*'Data Penjualan'!$N$27)+('Bill of Material'!F4*'Data Penjualan'!$N$42))/1000</f>
        <v>9.0662000000000003</v>
      </c>
      <c r="P3" s="4">
        <f t="shared" si="0"/>
        <v>125.82020000000001</v>
      </c>
      <c r="Q3" s="5" t="s">
        <v>20</v>
      </c>
    </row>
    <row r="4" spans="1:17" x14ac:dyDescent="0.45">
      <c r="A4" s="2" t="s">
        <v>23</v>
      </c>
      <c r="B4" s="2" t="s">
        <v>24</v>
      </c>
      <c r="C4" s="2" t="s">
        <v>19</v>
      </c>
      <c r="D4" s="3">
        <f>(('Bill of Material'!E5*'Data Penjualan'!$C$27)+('Bill of Material'!F5*'Data Penjualan'!$C$42))/1000</f>
        <v>7.9755000000000003</v>
      </c>
      <c r="E4" s="3">
        <f>(('Bill of Material'!E5*'Data Penjualan'!$D$27)+('Bill of Material'!F5*'Data Penjualan'!$D$42))/1000</f>
        <v>8.2904999999999998</v>
      </c>
      <c r="F4" s="3">
        <f>(('Bill of Material'!E5*'Data Penjualan'!$E$27)+('Bill of Material'!F5*'Data Penjualan'!$E$42))/1000</f>
        <v>7.5884999999999998</v>
      </c>
      <c r="G4" s="3">
        <f>(('Bill of Material'!E5*'Data Penjualan'!$F$27)+('Bill of Material'!F5*'Data Penjualan'!$F$42))/1000</f>
        <v>8.0190000000000001</v>
      </c>
      <c r="H4" s="3">
        <f>(('Bill of Material'!E5*'Data Penjualan'!$G$27)+('Bill of Material'!F5*'Data Penjualan'!$G$42))/1000</f>
        <v>6.7575000000000003</v>
      </c>
      <c r="I4" s="3">
        <f>(('Bill of Material'!E5*'Data Penjualan'!$H$27)+('Bill of Material'!F5*'Data Penjualan'!$H$42))/1000</f>
        <v>6.4770000000000003</v>
      </c>
      <c r="J4" s="3">
        <f>(('Bill of Material'!E5*'Data Penjualan'!$I$27)+('Bill of Material'!F5*'Data Penjualan'!$I$42))/1000</f>
        <v>5.5425000000000004</v>
      </c>
      <c r="K4" s="3">
        <f>(('Bill of Material'!E5*'Data Penjualan'!$J$27)+('Bill of Material'!F5*'Data Penjualan'!$J$42))/1000</f>
        <v>7.7069999999999999</v>
      </c>
      <c r="L4" s="3">
        <f>(('Bill of Material'!E5*'Data Penjualan'!$K$27)+('Bill of Material'!F5*'Data Penjualan'!$K$42))/1000</f>
        <v>7.6215000000000002</v>
      </c>
      <c r="M4" s="3">
        <f>(('Bill of Material'!E5*'Data Penjualan'!$L$27)+('Bill of Material'!F5*'Data Penjualan'!$L$42))/1000</f>
        <v>7.4565000000000001</v>
      </c>
      <c r="N4" s="3">
        <f>(('Bill of Material'!E5*'Data Penjualan'!$M$27)+('Bill of Material'!F5*'Data Penjualan'!$M$42))/1000</f>
        <v>6.1695000000000002</v>
      </c>
      <c r="O4" s="3">
        <f>(('Bill of Material'!E5*'Data Penjualan'!$N$27)+('Bill of Material'!F5*'Data Penjualan'!$N$42))/1000</f>
        <v>6.1814999999999998</v>
      </c>
      <c r="P4" s="4">
        <f t="shared" si="0"/>
        <v>85.786500000000018</v>
      </c>
      <c r="Q4" s="5" t="s">
        <v>20</v>
      </c>
    </row>
    <row r="5" spans="1:17" x14ac:dyDescent="0.45">
      <c r="A5" s="2" t="s">
        <v>25</v>
      </c>
      <c r="B5" s="2" t="s">
        <v>26</v>
      </c>
      <c r="C5" s="2" t="s">
        <v>19</v>
      </c>
      <c r="D5" s="3">
        <f>(('Bill of Material'!E6*'Data Penjualan'!$C$27)+('Bill of Material'!F6*'Data Penjualan'!$C$42))/1000</f>
        <v>5.3170000000000002</v>
      </c>
      <c r="E5" s="3">
        <f>(('Bill of Material'!E6*'Data Penjualan'!$D$27)+('Bill of Material'!F6*'Data Penjualan'!$D$42))/1000</f>
        <v>5.5270000000000001</v>
      </c>
      <c r="F5" s="3">
        <f>(('Bill of Material'!E6*'Data Penjualan'!$E$27)+('Bill of Material'!F6*'Data Penjualan'!$E$42))/1000</f>
        <v>5.0590000000000002</v>
      </c>
      <c r="G5" s="3">
        <f>(('Bill of Material'!E6*'Data Penjualan'!$F$27)+('Bill of Material'!F6*'Data Penjualan'!$F$42))/1000</f>
        <v>5.3460000000000001</v>
      </c>
      <c r="H5" s="3">
        <f>(('Bill of Material'!E6*'Data Penjualan'!$G$27)+('Bill of Material'!F6*'Data Penjualan'!$G$42))/1000</f>
        <v>4.5049999999999999</v>
      </c>
      <c r="I5" s="3">
        <f>(('Bill of Material'!E6*'Data Penjualan'!$H$27)+('Bill of Material'!F6*'Data Penjualan'!$H$42))/1000</f>
        <v>4.3179999999999996</v>
      </c>
      <c r="J5" s="3">
        <f>(('Bill of Material'!E6*'Data Penjualan'!$I$27)+('Bill of Material'!F6*'Data Penjualan'!$I$42))/1000</f>
        <v>3.6949999999999998</v>
      </c>
      <c r="K5" s="3">
        <f>(('Bill of Material'!E6*'Data Penjualan'!$J$27)+('Bill of Material'!F6*'Data Penjualan'!$J$42))/1000</f>
        <v>5.1379999999999999</v>
      </c>
      <c r="L5" s="3">
        <f>(('Bill of Material'!E6*'Data Penjualan'!$K$27)+('Bill of Material'!F6*'Data Penjualan'!$K$42))/1000</f>
        <v>5.0810000000000004</v>
      </c>
      <c r="M5" s="3">
        <f>(('Bill of Material'!E6*'Data Penjualan'!$L$27)+('Bill of Material'!F6*'Data Penjualan'!$L$42))/1000</f>
        <v>4.9710000000000001</v>
      </c>
      <c r="N5" s="3">
        <f>(('Bill of Material'!E6*'Data Penjualan'!$M$27)+('Bill of Material'!F6*'Data Penjualan'!$M$42))/1000</f>
        <v>4.1130000000000004</v>
      </c>
      <c r="O5" s="3">
        <f>(('Bill of Material'!E6*'Data Penjualan'!$N$27)+('Bill of Material'!F6*'Data Penjualan'!$N$42))/1000</f>
        <v>4.1210000000000004</v>
      </c>
      <c r="P5" s="4">
        <f t="shared" si="0"/>
        <v>57.19100000000001</v>
      </c>
      <c r="Q5" s="5" t="s">
        <v>20</v>
      </c>
    </row>
    <row r="6" spans="1:17" x14ac:dyDescent="0.45">
      <c r="A6" s="2" t="s">
        <v>27</v>
      </c>
      <c r="B6" s="2" t="s">
        <v>28</v>
      </c>
      <c r="C6" s="2" t="s">
        <v>19</v>
      </c>
      <c r="D6" s="3">
        <f>(('Bill of Material'!E7*'Data Penjualan'!$C$27)+('Bill of Material'!F7*'Data Penjualan'!$C$42))/1000</f>
        <v>4.2536000000000005</v>
      </c>
      <c r="E6" s="3">
        <f>(('Bill of Material'!E7*'Data Penjualan'!$D$27)+('Bill of Material'!F7*'Data Penjualan'!$D$42))/1000</f>
        <v>4.4216000000000006</v>
      </c>
      <c r="F6" s="3">
        <f>(('Bill of Material'!E7*'Data Penjualan'!$E$27)+('Bill of Material'!F7*'Data Penjualan'!$E$42))/1000</f>
        <v>4.0472000000000001</v>
      </c>
      <c r="G6" s="3">
        <f>(('Bill of Material'!E7*'Data Penjualan'!$F$27)+('Bill of Material'!F7*'Data Penjualan'!$F$42))/1000</f>
        <v>4.2768000000000006</v>
      </c>
      <c r="H6" s="3">
        <f>(('Bill of Material'!E7*'Data Penjualan'!$G$27)+('Bill of Material'!F7*'Data Penjualan'!$G$42))/1000</f>
        <v>3.6040000000000001</v>
      </c>
      <c r="I6" s="3">
        <f>(('Bill of Material'!E7*'Data Penjualan'!$H$27)+('Bill of Material'!F7*'Data Penjualan'!$H$42))/1000</f>
        <v>3.4544000000000001</v>
      </c>
      <c r="J6" s="3">
        <f>(('Bill of Material'!E7*'Data Penjualan'!$I$27)+('Bill of Material'!F7*'Data Penjualan'!$I$42))/1000</f>
        <v>2.956</v>
      </c>
      <c r="K6" s="3">
        <f>(('Bill of Material'!E7*'Data Penjualan'!$J$27)+('Bill of Material'!F7*'Data Penjualan'!$J$42))/1000</f>
        <v>4.1103999999999994</v>
      </c>
      <c r="L6" s="3">
        <f>(('Bill of Material'!E7*'Data Penjualan'!$K$27)+('Bill of Material'!F7*'Data Penjualan'!$K$42))/1000</f>
        <v>4.0648</v>
      </c>
      <c r="M6" s="3">
        <f>(('Bill of Material'!E7*'Data Penjualan'!$L$27)+('Bill of Material'!F7*'Data Penjualan'!$L$42))/1000</f>
        <v>3.9768000000000003</v>
      </c>
      <c r="N6" s="3">
        <f>(('Bill of Material'!E7*'Data Penjualan'!$M$27)+('Bill of Material'!F7*'Data Penjualan'!$M$42))/1000</f>
        <v>3.2904</v>
      </c>
      <c r="O6" s="3">
        <f>(('Bill of Material'!E7*'Data Penjualan'!$N$27)+('Bill of Material'!F7*'Data Penjualan'!$N$42))/1000</f>
        <v>3.2968000000000002</v>
      </c>
      <c r="P6" s="4">
        <f t="shared" si="0"/>
        <v>45.752799999999993</v>
      </c>
      <c r="Q6" s="5" t="s">
        <v>20</v>
      </c>
    </row>
    <row r="7" spans="1:17" x14ac:dyDescent="0.45">
      <c r="A7" s="2" t="s">
        <v>29</v>
      </c>
      <c r="B7" s="2" t="s">
        <v>30</v>
      </c>
      <c r="C7" s="2" t="s">
        <v>19</v>
      </c>
      <c r="D7" s="6">
        <f>(('Bill of Material'!E8*'Data Penjualan'!$C$27)+('Bill of Material'!F8*'Data Penjualan'!$C$42))/1000</f>
        <v>1.0634000000000001</v>
      </c>
      <c r="E7" s="6">
        <f>(('Bill of Material'!E8*'Data Penjualan'!$D$27)+('Bill of Material'!F8*'Data Penjualan'!$D$42))/1000</f>
        <v>1.1054000000000002</v>
      </c>
      <c r="F7" s="6">
        <f>(('Bill of Material'!E8*'Data Penjualan'!$E$27)+('Bill of Material'!F8*'Data Penjualan'!$E$42))/1000</f>
        <v>1.0118</v>
      </c>
      <c r="G7" s="3">
        <f>(('Bill of Material'!E8*'Data Penjualan'!$F$27)+('Bill of Material'!F8*'Data Penjualan'!$F$42))/1000</f>
        <v>1.0692000000000002</v>
      </c>
      <c r="H7" s="3">
        <f>(('Bill of Material'!E8*'Data Penjualan'!$G$27)+('Bill of Material'!F8*'Data Penjualan'!$G$42))/1000</f>
        <v>0.90100000000000002</v>
      </c>
      <c r="I7" s="3">
        <f>(('Bill of Material'!E8*'Data Penjualan'!$H$27)+('Bill of Material'!F8*'Data Penjualan'!$H$42))/1000</f>
        <v>0.86360000000000003</v>
      </c>
      <c r="J7" s="3">
        <f>(('Bill of Material'!E8*'Data Penjualan'!$I$27)+('Bill of Material'!F8*'Data Penjualan'!$I$42))/1000</f>
        <v>0.73899999999999999</v>
      </c>
      <c r="K7" s="3">
        <f>(('Bill of Material'!E8*'Data Penjualan'!$J$27)+('Bill of Material'!F8*'Data Penjualan'!$J$42))/1000</f>
        <v>1.0275999999999998</v>
      </c>
      <c r="L7" s="3">
        <f>(('Bill of Material'!E8*'Data Penjualan'!$K$27)+('Bill of Material'!F8*'Data Penjualan'!$K$42))/1000</f>
        <v>1.0162</v>
      </c>
      <c r="M7" s="3">
        <f>(('Bill of Material'!E8*'Data Penjualan'!$L$27)+('Bill of Material'!F8*'Data Penjualan'!$L$42))/1000</f>
        <v>0.99420000000000008</v>
      </c>
      <c r="N7" s="3">
        <f>(('Bill of Material'!E8*'Data Penjualan'!$M$27)+('Bill of Material'!F8*'Data Penjualan'!$M$42))/1000</f>
        <v>0.8226</v>
      </c>
      <c r="O7" s="3">
        <f>(('Bill of Material'!E8*'Data Penjualan'!$N$27)+('Bill of Material'!F8*'Data Penjualan'!$N$42))/1000</f>
        <v>0.82420000000000004</v>
      </c>
      <c r="P7" s="4">
        <f t="shared" si="0"/>
        <v>11.438199999999998</v>
      </c>
      <c r="Q7" s="5" t="s">
        <v>31</v>
      </c>
    </row>
    <row r="8" spans="1:17" x14ac:dyDescent="0.45">
      <c r="A8" s="2" t="s">
        <v>32</v>
      </c>
      <c r="B8" s="2" t="s">
        <v>33</v>
      </c>
      <c r="C8" s="2" t="s">
        <v>19</v>
      </c>
      <c r="D8" s="41">
        <f>(('Bill of Material'!E9*'Data Penjualan'!$C$27)+('Bill of Material'!F9*'Data Penjualan'!$C$42))/1000</f>
        <v>1.5951</v>
      </c>
      <c r="E8" s="6">
        <f>(('Bill of Material'!E9*'Data Penjualan'!$D$27)+('Bill of Material'!F9*'Data Penjualan'!$D$42))/1000</f>
        <v>1.6580999999999999</v>
      </c>
      <c r="F8" s="6">
        <f>(('Bill of Material'!E9*'Data Penjualan'!$E$27)+('Bill of Material'!F9*'Data Penjualan'!$E$42))/1000</f>
        <v>1.5177</v>
      </c>
      <c r="G8" s="3">
        <f>(('Bill of Material'!E9*'Data Penjualan'!$F$27)+('Bill of Material'!F9*'Data Penjualan'!$F$42))/1000</f>
        <v>1.6037999999999999</v>
      </c>
      <c r="H8" s="3">
        <f>(('Bill of Material'!E9*'Data Penjualan'!$G$27)+('Bill of Material'!F9*'Data Penjualan'!$G$42))/1000</f>
        <v>1.3514999999999999</v>
      </c>
      <c r="I8" s="3">
        <f>(('Bill of Material'!E9*'Data Penjualan'!$H$27)+('Bill of Material'!F9*'Data Penjualan'!$H$42))/1000</f>
        <v>1.2954000000000001</v>
      </c>
      <c r="J8" s="3">
        <f>(('Bill of Material'!E9*'Data Penjualan'!$I$27)+('Bill of Material'!F9*'Data Penjualan'!$I$42))/1000</f>
        <v>1.1085</v>
      </c>
      <c r="K8" s="3">
        <f>(('Bill of Material'!E9*'Data Penjualan'!$J$27)+('Bill of Material'!F9*'Data Penjualan'!$J$42))/1000</f>
        <v>1.5414000000000001</v>
      </c>
      <c r="L8" s="3">
        <f>(('Bill of Material'!E9*'Data Penjualan'!$K$27)+('Bill of Material'!F9*'Data Penjualan'!$K$42))/1000</f>
        <v>1.5243</v>
      </c>
      <c r="M8" s="3">
        <f>(('Bill of Material'!E9*'Data Penjualan'!$L$27)+('Bill of Material'!F9*'Data Penjualan'!$L$42))/1000</f>
        <v>1.4912999999999998</v>
      </c>
      <c r="N8" s="3">
        <f>(('Bill of Material'!E9*'Data Penjualan'!$M$27)+('Bill of Material'!F9*'Data Penjualan'!$M$42))/1000</f>
        <v>1.2339</v>
      </c>
      <c r="O8" s="3">
        <f>(('Bill of Material'!E9*'Data Penjualan'!$N$27)+('Bill of Material'!F9*'Data Penjualan'!$N$42))/1000</f>
        <v>1.2363</v>
      </c>
      <c r="P8" s="4">
        <f t="shared" si="0"/>
        <v>17.157299999999999</v>
      </c>
      <c r="Q8" s="5" t="s">
        <v>34</v>
      </c>
    </row>
    <row r="9" spans="1:17" x14ac:dyDescent="0.45">
      <c r="A9" s="2" t="s">
        <v>35</v>
      </c>
      <c r="B9" s="2" t="s">
        <v>36</v>
      </c>
      <c r="C9" s="2" t="s">
        <v>37</v>
      </c>
      <c r="D9" s="41">
        <f>(('Bill of Material'!E9*'Data Penjualan'!$C$27)+('Bill of Material'!F9*'Data Penjualan'!$C$42))/1000</f>
        <v>1.5951</v>
      </c>
      <c r="E9" s="6">
        <f>(('Bill of Material'!E9*'Data Penjualan'!$D$27)+('Bill of Material'!F9*'Data Penjualan'!$D$42))/1000</f>
        <v>1.6580999999999999</v>
      </c>
      <c r="F9" s="6">
        <f>(('Bill of Material'!E9*'Data Penjualan'!$E$27)+('Bill of Material'!F9*'Data Penjualan'!$E$42))/1000</f>
        <v>1.5177</v>
      </c>
      <c r="G9" s="6">
        <f>(('Bill of Material'!E9*'Data Penjualan'!$F$27)+('Bill of Material'!F9*'Data Penjualan'!$F$42))/1000</f>
        <v>1.6037999999999999</v>
      </c>
      <c r="H9" s="6">
        <f>(('Bill of Material'!E9*'Data Penjualan'!$G$27)+('Bill of Material'!F9*'Data Penjualan'!$G$42))/1000</f>
        <v>1.3514999999999999</v>
      </c>
      <c r="I9" s="6">
        <f>(('Bill of Material'!E9*'Data Penjualan'!$H$27)+('Bill of Material'!F9*'Data Penjualan'!$H$42))/1000</f>
        <v>1.2954000000000001</v>
      </c>
      <c r="J9" s="6">
        <f>(('Bill of Material'!E9*'Data Penjualan'!$I$27)+('Bill of Material'!F9*'Data Penjualan'!$I$42))/1000</f>
        <v>1.1085</v>
      </c>
      <c r="K9" s="6">
        <f>(('Bill of Material'!E9*'Data Penjualan'!$J$27)+('Bill of Material'!F9*'Data Penjualan'!$J$42))/1000</f>
        <v>1.5414000000000001</v>
      </c>
      <c r="L9" s="6">
        <f>(('Bill of Material'!E9*'Data Penjualan'!$K$27)+('Bill of Material'!F9*'Data Penjualan'!$K$42))/1000</f>
        <v>1.5243</v>
      </c>
      <c r="M9" s="6">
        <f>(('Bill of Material'!E9*'Data Penjualan'!$L$27)+('Bill of Material'!F9*'Data Penjualan'!$L$42))/1000</f>
        <v>1.4912999999999998</v>
      </c>
      <c r="N9" s="6">
        <f>(('Bill of Material'!E9*'Data Penjualan'!$M$27)+('Bill of Material'!F9*'Data Penjualan'!$M$42))/1000</f>
        <v>1.2339</v>
      </c>
      <c r="O9" s="6">
        <f>(('Bill of Material'!E9*'Data Penjualan'!$N$27)+('Bill of Material'!F9*'Data Penjualan'!$N$42))/1000</f>
        <v>1.2363</v>
      </c>
      <c r="P9" s="4">
        <f t="shared" si="0"/>
        <v>17.157299999999999</v>
      </c>
      <c r="Q9" s="5" t="s">
        <v>38</v>
      </c>
    </row>
    <row r="10" spans="1:17" x14ac:dyDescent="0.45">
      <c r="A10" s="2" t="s">
        <v>39</v>
      </c>
      <c r="B10" s="2" t="s">
        <v>40</v>
      </c>
      <c r="C10" s="2" t="s">
        <v>37</v>
      </c>
      <c r="D10" s="41">
        <f>(('Bill of Material'!E9*'Data Penjualan'!$C$27)+('Bill of Material'!F9*'Data Penjualan'!$C$42))/1000</f>
        <v>1.5951</v>
      </c>
      <c r="E10" s="6">
        <f>(('Bill of Material'!E9*'Data Penjualan'!$D$27)+('Bill of Material'!F9*'Data Penjualan'!$D$42))/1000</f>
        <v>1.6580999999999999</v>
      </c>
      <c r="F10" s="6">
        <f>(('Bill of Material'!E9*'Data Penjualan'!$E$27)+('Bill of Material'!F9*'Data Penjualan'!$E$42))/1000</f>
        <v>1.5177</v>
      </c>
      <c r="G10" s="6">
        <f>(('Bill of Material'!E9*'Data Penjualan'!$F$27)+('Bill of Material'!F9*'Data Penjualan'!$F$42))/1000</f>
        <v>1.6037999999999999</v>
      </c>
      <c r="H10" s="6">
        <f>(('Bill of Material'!E9*'Data Penjualan'!$G$27)+('Bill of Material'!F9*'Data Penjualan'!$G$42))/1000</f>
        <v>1.3514999999999999</v>
      </c>
      <c r="I10" s="6">
        <f>(('Bill of Material'!E9*'Data Penjualan'!$H$27)+('Bill of Material'!F9*'Data Penjualan'!$H$42))/1000</f>
        <v>1.2954000000000001</v>
      </c>
      <c r="J10" s="6">
        <f>(('Bill of Material'!E9*'Data Penjualan'!$I$27)+('Bill of Material'!F9*'Data Penjualan'!$I$42))/1000</f>
        <v>1.1085</v>
      </c>
      <c r="K10" s="6">
        <f>(('Bill of Material'!E9*'Data Penjualan'!$J$27)+('Bill of Material'!F9*'Data Penjualan'!$J$42))/1000</f>
        <v>1.5414000000000001</v>
      </c>
      <c r="L10" s="6">
        <f>(('Bill of Material'!E9*'Data Penjualan'!$K$27)+('Bill of Material'!F9*'Data Penjualan'!$K$42))/1000</f>
        <v>1.5243</v>
      </c>
      <c r="M10" s="6">
        <f>(('Bill of Material'!E9*'Data Penjualan'!$L$27)+('Bill of Material'!F9*'Data Penjualan'!$L$42))/1000</f>
        <v>1.4912999999999998</v>
      </c>
      <c r="N10" s="6">
        <f>(('Bill of Material'!E9*'Data Penjualan'!$M$27)+('Bill of Material'!F9*'Data Penjualan'!$M$42))/1000</f>
        <v>1.2339</v>
      </c>
      <c r="O10" s="6">
        <f>(('Bill of Material'!E9*'Data Penjualan'!$N$27)+('Bill of Material'!F9*'Data Penjualan'!$N$42))/1000</f>
        <v>1.2363</v>
      </c>
      <c r="P10" s="4">
        <f t="shared" si="0"/>
        <v>17.157299999999999</v>
      </c>
      <c r="Q10" s="5" t="s">
        <v>41</v>
      </c>
    </row>
    <row r="11" spans="1:17" x14ac:dyDescent="0.45">
      <c r="A11" s="2" t="s">
        <v>42</v>
      </c>
      <c r="B11" s="2" t="s">
        <v>43</v>
      </c>
      <c r="C11" s="2" t="s">
        <v>37</v>
      </c>
      <c r="D11" s="41">
        <f>(('Bill of Material'!E9*'Data Penjualan'!$C$27)+('Bill of Material'!F9*'Data Penjualan'!$C$42))/1000</f>
        <v>1.5951</v>
      </c>
      <c r="E11" s="6">
        <f>(('Bill of Material'!E9*'Data Penjualan'!$D$27)+('Bill of Material'!F9*'Data Penjualan'!$D$42))/1000</f>
        <v>1.6580999999999999</v>
      </c>
      <c r="F11" s="6">
        <f>(('Bill of Material'!E9*'Data Penjualan'!$E$27)+('Bill of Material'!F9*'Data Penjualan'!$E$42))/1000</f>
        <v>1.5177</v>
      </c>
      <c r="G11" s="6">
        <f>(('Bill of Material'!E9*'Data Penjualan'!$F$27)+('Bill of Material'!F9*'Data Penjualan'!$F$42))/1000</f>
        <v>1.6037999999999999</v>
      </c>
      <c r="H11" s="6">
        <f>(('Bill of Material'!E9*'Data Penjualan'!$G$27)+('Bill of Material'!F9*'Data Penjualan'!$G$42))/1000</f>
        <v>1.3514999999999999</v>
      </c>
      <c r="I11" s="6">
        <f>(('Bill of Material'!E9*'Data Penjualan'!$H$27)+('Bill of Material'!F9*'Data Penjualan'!$H$42))/1000</f>
        <v>1.2954000000000001</v>
      </c>
      <c r="J11" s="6">
        <f>(('Bill of Material'!E9*'Data Penjualan'!$I$27)+('Bill of Material'!F9*'Data Penjualan'!$I$42))/1000</f>
        <v>1.1085</v>
      </c>
      <c r="K11" s="6">
        <f>(('Bill of Material'!E9*'Data Penjualan'!$J$27)+('Bill of Material'!F9*'Data Penjualan'!$J$42))/1000</f>
        <v>1.5414000000000001</v>
      </c>
      <c r="L11" s="6">
        <f>(('Bill of Material'!E9*'Data Penjualan'!$K$27)+('Bill of Material'!F9*'Data Penjualan'!$K$42))/1000</f>
        <v>1.5243</v>
      </c>
      <c r="M11" s="6">
        <f>(('Bill of Material'!E9*'Data Penjualan'!$L$27)+('Bill of Material'!F9*'Data Penjualan'!$L$42))/1000</f>
        <v>1.4912999999999998</v>
      </c>
      <c r="N11" s="6">
        <f>(('Bill of Material'!E9*'Data Penjualan'!$M$27)+('Bill of Material'!F9*'Data Penjualan'!$M$42))/1000</f>
        <v>1.2339</v>
      </c>
      <c r="O11" s="6">
        <f>(('Bill of Material'!E9*'Data Penjualan'!$N$27)+('Bill of Material'!F9*'Data Penjualan'!$N$42))/1000</f>
        <v>1.2363</v>
      </c>
      <c r="P11" s="4">
        <f t="shared" si="0"/>
        <v>17.157299999999999</v>
      </c>
      <c r="Q11" s="5" t="s">
        <v>38</v>
      </c>
    </row>
    <row r="12" spans="1:17" x14ac:dyDescent="0.45">
      <c r="D12" s="44">
        <f>SUM(D2:D11)</f>
        <v>57.955300000000008</v>
      </c>
      <c r="E12" s="44">
        <f t="shared" ref="E12:P12" si="1">SUM(E2:E11)</f>
        <v>60.244299999999996</v>
      </c>
      <c r="F12" s="44">
        <f t="shared" si="1"/>
        <v>55.143099999999997</v>
      </c>
      <c r="G12" s="44">
        <f t="shared" si="1"/>
        <v>58.2714</v>
      </c>
      <c r="H12" s="44">
        <f t="shared" si="1"/>
        <v>49.104500000000009</v>
      </c>
      <c r="I12" s="44">
        <f t="shared" si="1"/>
        <v>47.066199999999995</v>
      </c>
      <c r="J12" s="44">
        <f t="shared" si="1"/>
        <v>40.275499999999994</v>
      </c>
      <c r="K12" s="44">
        <f t="shared" si="1"/>
        <v>56.004200000000012</v>
      </c>
      <c r="L12" s="44">
        <f t="shared" si="1"/>
        <v>55.382899999999985</v>
      </c>
      <c r="M12" s="44">
        <f t="shared" si="1"/>
        <v>54.183900000000001</v>
      </c>
      <c r="N12" s="44">
        <f t="shared" si="1"/>
        <v>44.831699999999998</v>
      </c>
      <c r="O12" s="44">
        <f t="shared" si="1"/>
        <v>44.918900000000001</v>
      </c>
      <c r="P12" s="44">
        <f t="shared" si="1"/>
        <v>623.38189999999997</v>
      </c>
    </row>
    <row r="14" spans="1:17" x14ac:dyDescent="0.45">
      <c r="D14" s="4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zoomScale="85" zoomScaleNormal="85" workbookViewId="0">
      <pane ySplit="1" topLeftCell="A2" activePane="bottomLeft" state="frozen"/>
      <selection pane="bottomLeft" activeCell="N2" sqref="N2"/>
    </sheetView>
  </sheetViews>
  <sheetFormatPr defaultColWidth="8.6640625" defaultRowHeight="14.25" x14ac:dyDescent="0.45"/>
  <cols>
    <col min="1" max="1" width="6" customWidth="1"/>
    <col min="2" max="2" width="28" customWidth="1"/>
    <col min="3" max="3" width="7" customWidth="1"/>
    <col min="4" max="5" width="12" customWidth="1"/>
    <col min="6" max="6" width="16" customWidth="1"/>
    <col min="7" max="8" width="10" customWidth="1"/>
    <col min="9" max="9" width="8" customWidth="1"/>
    <col min="10" max="10" width="11" customWidth="1"/>
    <col min="11" max="11" width="13" customWidth="1"/>
    <col min="12" max="12" width="9" customWidth="1"/>
    <col min="13" max="13" width="10" customWidth="1"/>
    <col min="14" max="14" width="9" customWidth="1"/>
    <col min="15" max="15" width="10" customWidth="1"/>
    <col min="16" max="16" width="6" customWidth="1"/>
    <col min="17" max="17" width="10" customWidth="1"/>
    <col min="18" max="18" width="9" customWidth="1"/>
    <col min="19" max="19" width="14" customWidth="1"/>
  </cols>
  <sheetData>
    <row r="1" spans="1:19" ht="42.75" customHeight="1" x14ac:dyDescent="0.45">
      <c r="A1" s="1" t="s">
        <v>0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 x14ac:dyDescent="0.45">
      <c r="A2" s="7" t="s">
        <v>21</v>
      </c>
      <c r="B2" s="8" t="s">
        <v>22</v>
      </c>
      <c r="C2" s="7" t="s">
        <v>19</v>
      </c>
      <c r="D2" s="9">
        <f>'Pemakaian Bulanan'!P2</f>
        <v>228.76400000000004</v>
      </c>
      <c r="E2" s="10">
        <v>290000</v>
      </c>
      <c r="F2" s="10">
        <f>D2*E2</f>
        <v>66341560.000000007</v>
      </c>
      <c r="G2" s="25">
        <f>F2/SUM($F$2:$F$11)*100</f>
        <v>67.540029112081513</v>
      </c>
      <c r="H2" s="26">
        <f>SUM($G$2:G2)</f>
        <v>67.540029112081513</v>
      </c>
      <c r="I2" s="45" t="str">
        <f>IF(H2&lt;=80,"A",IF(H2&lt;=95,"B","C"))</f>
        <v>A</v>
      </c>
      <c r="J2" s="10">
        <v>40000</v>
      </c>
      <c r="K2" s="10">
        <f>E2*20%</f>
        <v>58000</v>
      </c>
      <c r="L2" s="9">
        <f>SQRT((2*D2*J2)/K2)</f>
        <v>17.763348550432095</v>
      </c>
      <c r="M2" s="9">
        <f>_xlfn.STDEV.S('Pemakaian Bulanan'!D2:O2)</f>
        <v>2.364250384114956</v>
      </c>
      <c r="N2" s="9">
        <f>M2/SQRT(30)</f>
        <v>0.43165108899000504</v>
      </c>
      <c r="O2" s="7">
        <v>3</v>
      </c>
      <c r="P2" s="27">
        <v>1.65</v>
      </c>
      <c r="Q2" s="9">
        <f>N2*SQRT(O2)*P2</f>
        <v>1.2336086685006538</v>
      </c>
      <c r="R2" s="9">
        <f>((D2/360)*O2)+Q2</f>
        <v>3.1399753351673207</v>
      </c>
      <c r="S2" s="9"/>
    </row>
    <row r="3" spans="1:19" x14ac:dyDescent="0.45">
      <c r="A3" s="7" t="s">
        <v>23</v>
      </c>
      <c r="B3" s="8" t="s">
        <v>24</v>
      </c>
      <c r="C3" s="7" t="s">
        <v>19</v>
      </c>
      <c r="D3" s="9">
        <f>'Pemakaian Bulanan'!P3</f>
        <v>125.82020000000001</v>
      </c>
      <c r="E3" s="10">
        <v>65000</v>
      </c>
      <c r="F3" s="10">
        <f t="shared" ref="F3:F11" si="0">D3*E3</f>
        <v>8178313.0000000009</v>
      </c>
      <c r="G3" s="25">
        <f>F3/SUM($F$2:$F$11)*100</f>
        <v>8.3260553129548764</v>
      </c>
      <c r="H3" s="26">
        <f>SUM($G$2:G3)</f>
        <v>75.866084425036391</v>
      </c>
      <c r="I3" s="45" t="str">
        <f>IF(H3&lt;=80,"A",IF(H3&lt;=95,"B","C"))</f>
        <v>A</v>
      </c>
      <c r="J3" s="10">
        <v>40000</v>
      </c>
      <c r="K3" s="10">
        <f t="shared" ref="K3:K11" si="1">E3*20%</f>
        <v>13000</v>
      </c>
      <c r="L3" s="9">
        <v>42.239397091656798</v>
      </c>
      <c r="M3" s="9">
        <f>_xlfn.STDEV.S('Pemakaian Bulanan'!D3:O3)</f>
        <v>1.3003377112632353</v>
      </c>
      <c r="N3" s="9">
        <f>M3/SQRT(30)</f>
        <v>0.23740809894450449</v>
      </c>
      <c r="O3" s="7">
        <v>5</v>
      </c>
      <c r="P3" s="27">
        <v>1.65</v>
      </c>
      <c r="Q3" s="9">
        <f t="shared" ref="Q3:Q11" si="2">N3*SQRT(O3)*P3</f>
        <v>0.87592006862069838</v>
      </c>
      <c r="R3" s="9">
        <f t="shared" ref="R3:R11" si="3">((D3/360)*O3)+Q3</f>
        <v>2.6234228463984763</v>
      </c>
      <c r="S3" s="9"/>
    </row>
    <row r="4" spans="1:19" x14ac:dyDescent="0.45">
      <c r="A4" s="7" t="s">
        <v>17</v>
      </c>
      <c r="B4" s="8" t="s">
        <v>18</v>
      </c>
      <c r="C4" s="7" t="s">
        <v>19</v>
      </c>
      <c r="D4" s="9">
        <f>'Pemakaian Bulanan'!P4</f>
        <v>85.786500000000018</v>
      </c>
      <c r="E4" s="10">
        <v>32000</v>
      </c>
      <c r="F4" s="10">
        <f t="shared" si="0"/>
        <v>2745168.0000000005</v>
      </c>
      <c r="G4" s="25">
        <f>F4/SUM($F$2:$F$11)*100</f>
        <v>2.7947598253275108</v>
      </c>
      <c r="H4" s="26">
        <f>SUM($G$2:G4)</f>
        <v>78.660844250363908</v>
      </c>
      <c r="I4" s="45" t="str">
        <f t="shared" ref="I4:I11" si="4">IF(H4&lt;=80,"A",IF(H4&lt;=95,"B","C"))</f>
        <v>A</v>
      </c>
      <c r="J4" s="10">
        <v>40000</v>
      </c>
      <c r="K4" s="10">
        <f t="shared" si="1"/>
        <v>6400</v>
      </c>
      <c r="L4" s="9">
        <v>57.835974963684997</v>
      </c>
      <c r="M4" s="9">
        <f>_xlfn.STDEV.S('Pemakaian Bulanan'!D4:O4)</f>
        <v>0.88659389404310918</v>
      </c>
      <c r="N4" s="9">
        <f t="shared" ref="N4:N11" si="5">M4/SQRT(30)</f>
        <v>0.16186915837125201</v>
      </c>
      <c r="O4" s="7">
        <v>4</v>
      </c>
      <c r="P4" s="27">
        <v>1.65</v>
      </c>
      <c r="Q4" s="9">
        <f t="shared" si="2"/>
        <v>0.53416822262513164</v>
      </c>
      <c r="R4" s="9">
        <f t="shared" si="3"/>
        <v>1.4873515559584651</v>
      </c>
      <c r="S4" s="9"/>
    </row>
    <row r="5" spans="1:19" x14ac:dyDescent="0.45">
      <c r="A5" s="7" t="s">
        <v>27</v>
      </c>
      <c r="B5" s="8" t="s">
        <v>28</v>
      </c>
      <c r="C5" s="7" t="s">
        <v>19</v>
      </c>
      <c r="D5" s="9">
        <f>'Pemakaian Bulanan'!P5</f>
        <v>57.19100000000001</v>
      </c>
      <c r="E5" s="10">
        <v>85000</v>
      </c>
      <c r="F5" s="10">
        <f t="shared" si="0"/>
        <v>4861235.0000000009</v>
      </c>
      <c r="G5" s="25">
        <f t="shared" ref="G5:G11" si="6">F5/SUM($F$2:$F$11)*100</f>
        <v>4.9490538573508003</v>
      </c>
      <c r="H5" s="26">
        <f>SUM($G$2:G5)</f>
        <v>83.609898107714713</v>
      </c>
      <c r="I5" s="28" t="str">
        <f t="shared" si="4"/>
        <v>B</v>
      </c>
      <c r="J5" s="10">
        <v>40000</v>
      </c>
      <c r="K5" s="10">
        <f t="shared" si="1"/>
        <v>17000</v>
      </c>
      <c r="L5" s="9">
        <v>27.896725125492299</v>
      </c>
      <c r="M5" s="9">
        <f>_xlfn.STDEV.S('Pemakaian Bulanan'!D5:O5)</f>
        <v>0.59106259602873901</v>
      </c>
      <c r="N5" s="9">
        <f t="shared" si="5"/>
        <v>0.10791277224750126</v>
      </c>
      <c r="O5" s="7">
        <v>3</v>
      </c>
      <c r="P5" s="27">
        <v>1.65</v>
      </c>
      <c r="Q5" s="9">
        <f t="shared" si="2"/>
        <v>0.30840216712516344</v>
      </c>
      <c r="R5" s="9">
        <f t="shared" si="3"/>
        <v>0.78499383379183019</v>
      </c>
      <c r="S5" s="9"/>
    </row>
    <row r="6" spans="1:19" x14ac:dyDescent="0.45">
      <c r="A6" s="7" t="s">
        <v>25</v>
      </c>
      <c r="B6" s="8" t="s">
        <v>26</v>
      </c>
      <c r="C6" s="7" t="s">
        <v>19</v>
      </c>
      <c r="D6" s="9">
        <f>'Pemakaian Bulanan'!P6</f>
        <v>45.752799999999993</v>
      </c>
      <c r="E6" s="10">
        <v>40000</v>
      </c>
      <c r="F6" s="10">
        <f t="shared" si="0"/>
        <v>1830111.9999999998</v>
      </c>
      <c r="G6" s="25">
        <f t="shared" si="6"/>
        <v>1.8631732168850068</v>
      </c>
      <c r="H6" s="26">
        <f>SUM($G$2:G6)</f>
        <v>85.473071324599715</v>
      </c>
      <c r="I6" s="28" t="str">
        <f t="shared" si="4"/>
        <v>B</v>
      </c>
      <c r="J6" s="10">
        <v>40000</v>
      </c>
      <c r="K6" s="10">
        <f t="shared" si="1"/>
        <v>8000</v>
      </c>
      <c r="L6" s="9">
        <v>37.534194935734099</v>
      </c>
      <c r="M6" s="9">
        <f>_xlfn.STDEV.S('Pemakaian Bulanan'!D6:O6)</f>
        <v>0.47285007682300834</v>
      </c>
      <c r="N6" s="9">
        <f t="shared" si="5"/>
        <v>8.6330217798004136E-2</v>
      </c>
      <c r="O6" s="7">
        <v>4</v>
      </c>
      <c r="P6" s="27">
        <v>1.65</v>
      </c>
      <c r="Q6" s="9">
        <f t="shared" si="2"/>
        <v>0.28488971873341362</v>
      </c>
      <c r="R6" s="9">
        <f t="shared" si="3"/>
        <v>0.79325416317785802</v>
      </c>
      <c r="S6" s="9"/>
    </row>
    <row r="7" spans="1:19" x14ac:dyDescent="0.45">
      <c r="A7" s="7" t="s">
        <v>42</v>
      </c>
      <c r="B7" s="8" t="s">
        <v>43</v>
      </c>
      <c r="C7" s="7" t="s">
        <v>37</v>
      </c>
      <c r="D7" s="9">
        <f>'Pemakaian Bulanan'!P7</f>
        <v>11.438199999999998</v>
      </c>
      <c r="E7" s="10">
        <v>250000</v>
      </c>
      <c r="F7" s="10">
        <f t="shared" si="0"/>
        <v>2859549.9999999995</v>
      </c>
      <c r="G7" s="25">
        <f t="shared" si="6"/>
        <v>2.911208151382823</v>
      </c>
      <c r="H7" s="26">
        <f>SUM($G$2:G7)</f>
        <v>88.384279475982538</v>
      </c>
      <c r="I7" s="28" t="str">
        <f t="shared" si="4"/>
        <v>B</v>
      </c>
      <c r="J7" s="10">
        <v>40000</v>
      </c>
      <c r="K7" s="10">
        <f t="shared" si="1"/>
        <v>50000</v>
      </c>
      <c r="L7" s="9">
        <v>4.1187723552395701</v>
      </c>
      <c r="M7" s="9">
        <f>_xlfn.STDEV.S('Pemakaian Bulanan'!D7:O7)</f>
        <v>0.11821251920575208</v>
      </c>
      <c r="N7" s="9">
        <f t="shared" si="5"/>
        <v>2.1582554449501034E-2</v>
      </c>
      <c r="O7" s="7">
        <v>5</v>
      </c>
      <c r="P7" s="27">
        <v>1.65</v>
      </c>
      <c r="Q7" s="9">
        <f t="shared" si="2"/>
        <v>7.9629097147338526E-2</v>
      </c>
      <c r="R7" s="9">
        <f t="shared" si="3"/>
        <v>0.23849298603622737</v>
      </c>
      <c r="S7" s="9"/>
    </row>
    <row r="8" spans="1:19" x14ac:dyDescent="0.45">
      <c r="A8" s="7" t="s">
        <v>35</v>
      </c>
      <c r="B8" s="8" t="s">
        <v>36</v>
      </c>
      <c r="C8" s="7" t="s">
        <v>37</v>
      </c>
      <c r="D8" s="9">
        <f>'Pemakaian Bulanan'!P8</f>
        <v>17.157299999999999</v>
      </c>
      <c r="E8" s="10">
        <v>220000</v>
      </c>
      <c r="F8" s="10">
        <f t="shared" si="0"/>
        <v>3774606</v>
      </c>
      <c r="G8" s="25">
        <f t="shared" si="6"/>
        <v>3.8427947598253271</v>
      </c>
      <c r="H8" s="26">
        <f>SUM($G$2:G8)</f>
        <v>92.227074235807862</v>
      </c>
      <c r="I8" s="28" t="str">
        <f t="shared" si="4"/>
        <v>B</v>
      </c>
      <c r="J8" s="10">
        <v>40000</v>
      </c>
      <c r="K8" s="10">
        <f t="shared" si="1"/>
        <v>44000</v>
      </c>
      <c r="L8" s="9">
        <v>4.3882521300350099</v>
      </c>
      <c r="M8" s="9">
        <f>_xlfn.STDEV.S('Pemakaian Bulanan'!D8:O8)</f>
        <v>0.17731877880862573</v>
      </c>
      <c r="N8" s="9">
        <f t="shared" si="5"/>
        <v>3.2373831674251112E-2</v>
      </c>
      <c r="O8" s="7">
        <v>5</v>
      </c>
      <c r="P8" s="27">
        <v>1.65</v>
      </c>
      <c r="Q8" s="9">
        <f t="shared" si="2"/>
        <v>0.11944364572100616</v>
      </c>
      <c r="R8" s="9">
        <f t="shared" si="3"/>
        <v>0.35773947905433945</v>
      </c>
      <c r="S8" s="9"/>
    </row>
    <row r="9" spans="1:19" x14ac:dyDescent="0.45">
      <c r="A9" s="7" t="s">
        <v>29</v>
      </c>
      <c r="B9" s="8" t="s">
        <v>30</v>
      </c>
      <c r="C9" s="7" t="s">
        <v>19</v>
      </c>
      <c r="D9" s="9">
        <f>'Pemakaian Bulanan'!P9</f>
        <v>17.157299999999999</v>
      </c>
      <c r="E9" s="10">
        <v>75000</v>
      </c>
      <c r="F9" s="10">
        <f t="shared" si="0"/>
        <v>1286797.5</v>
      </c>
      <c r="G9" s="25">
        <f t="shared" si="6"/>
        <v>1.3100436681222705</v>
      </c>
      <c r="H9" s="26">
        <f>SUM($G$2:G9)</f>
        <v>93.537117903930138</v>
      </c>
      <c r="I9" s="28" t="str">
        <f t="shared" si="4"/>
        <v>B</v>
      </c>
      <c r="J9" s="10">
        <v>40000</v>
      </c>
      <c r="K9" s="10">
        <f t="shared" si="1"/>
        <v>15000</v>
      </c>
      <c r="L9" s="9">
        <v>9.3374246984915494</v>
      </c>
      <c r="M9" s="9">
        <f>_xlfn.STDEV.S('Pemakaian Bulanan'!D9:O9)</f>
        <v>0.17731877880862573</v>
      </c>
      <c r="N9" s="9">
        <f t="shared" si="5"/>
        <v>3.2373831674251112E-2</v>
      </c>
      <c r="O9" s="7">
        <v>4</v>
      </c>
      <c r="P9" s="27">
        <v>1.65</v>
      </c>
      <c r="Q9" s="9">
        <f t="shared" si="2"/>
        <v>0.10683364452502866</v>
      </c>
      <c r="R9" s="9">
        <f t="shared" si="3"/>
        <v>0.29747031119169531</v>
      </c>
      <c r="S9" s="9"/>
    </row>
    <row r="10" spans="1:19" x14ac:dyDescent="0.45">
      <c r="A10" s="7" t="s">
        <v>39</v>
      </c>
      <c r="B10" s="8" t="s">
        <v>40</v>
      </c>
      <c r="C10" s="7" t="s">
        <v>37</v>
      </c>
      <c r="D10" s="9">
        <f>'Pemakaian Bulanan'!P10</f>
        <v>17.157299999999999</v>
      </c>
      <c r="E10" s="10">
        <v>220000</v>
      </c>
      <c r="F10" s="10">
        <f t="shared" si="0"/>
        <v>3774606</v>
      </c>
      <c r="G10" s="25">
        <f t="shared" si="6"/>
        <v>3.8427947598253271</v>
      </c>
      <c r="H10" s="26">
        <f>SUM($G$2:G10)</f>
        <v>97.379912663755462</v>
      </c>
      <c r="I10" s="29" t="str">
        <f t="shared" si="4"/>
        <v>C</v>
      </c>
      <c r="J10" s="10">
        <v>40000</v>
      </c>
      <c r="K10" s="10">
        <f t="shared" si="1"/>
        <v>44000</v>
      </c>
      <c r="L10" s="9">
        <v>2.2870874995874599</v>
      </c>
      <c r="M10" s="9">
        <f>_xlfn.STDEV.S('Pemakaian Bulanan'!D10:O10)</f>
        <v>0.17731877880862573</v>
      </c>
      <c r="N10" s="9">
        <f t="shared" si="5"/>
        <v>3.2373831674251112E-2</v>
      </c>
      <c r="O10" s="7">
        <v>5</v>
      </c>
      <c r="P10" s="27">
        <v>1.65</v>
      </c>
      <c r="Q10" s="9">
        <f t="shared" si="2"/>
        <v>0.11944364572100616</v>
      </c>
      <c r="R10" s="9">
        <f t="shared" si="3"/>
        <v>0.35773947905433945</v>
      </c>
      <c r="S10" s="9"/>
    </row>
    <row r="11" spans="1:19" x14ac:dyDescent="0.45">
      <c r="A11" s="7" t="s">
        <v>32</v>
      </c>
      <c r="B11" s="8" t="s">
        <v>33</v>
      </c>
      <c r="C11" s="7" t="s">
        <v>19</v>
      </c>
      <c r="D11" s="9">
        <f>'Pemakaian Bulanan'!P11</f>
        <v>17.157299999999999</v>
      </c>
      <c r="E11" s="10">
        <v>150000</v>
      </c>
      <c r="F11" s="10">
        <f t="shared" si="0"/>
        <v>2573595</v>
      </c>
      <c r="G11" s="25">
        <f t="shared" si="6"/>
        <v>2.6200873362445409</v>
      </c>
      <c r="H11" s="26">
        <f>SUM($G$2:G11)</f>
        <v>100</v>
      </c>
      <c r="I11" s="29" t="str">
        <f t="shared" si="4"/>
        <v>C</v>
      </c>
      <c r="J11" s="10">
        <v>40000</v>
      </c>
      <c r="K11" s="10">
        <f t="shared" si="1"/>
        <v>30000</v>
      </c>
      <c r="L11" s="9">
        <v>2.7294688127912399</v>
      </c>
      <c r="M11" s="9">
        <f>_xlfn.STDEV.S('Pemakaian Bulanan'!D11:O11)</f>
        <v>0.17731877880862573</v>
      </c>
      <c r="N11" s="9">
        <f t="shared" si="5"/>
        <v>3.2373831674251112E-2</v>
      </c>
      <c r="O11" s="7">
        <v>5</v>
      </c>
      <c r="P11" s="27">
        <v>1.65</v>
      </c>
      <c r="Q11" s="9">
        <f t="shared" si="2"/>
        <v>0.11944364572100616</v>
      </c>
      <c r="R11" s="9">
        <f t="shared" si="3"/>
        <v>0.35773947905433945</v>
      </c>
      <c r="S11" s="9"/>
    </row>
    <row r="13" spans="1:19" x14ac:dyDescent="0.45">
      <c r="A13" s="11" t="s">
        <v>60</v>
      </c>
    </row>
    <row r="14" spans="1:19" x14ac:dyDescent="0.45">
      <c r="A14" s="12" t="s">
        <v>61</v>
      </c>
    </row>
    <row r="15" spans="1:19" x14ac:dyDescent="0.45">
      <c r="A15" s="12" t="s">
        <v>62</v>
      </c>
    </row>
    <row r="16" spans="1:19" x14ac:dyDescent="0.45">
      <c r="A16" s="12" t="s">
        <v>63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2"/>
  <sheetViews>
    <sheetView zoomScale="55" zoomScaleNormal="55" workbookViewId="0">
      <pane ySplit="1" topLeftCell="A68" activePane="bottomLeft" state="frozen"/>
      <selection pane="bottomLeft" activeCell="J87" sqref="J87"/>
    </sheetView>
  </sheetViews>
  <sheetFormatPr defaultColWidth="8.6640625" defaultRowHeight="14.25" x14ac:dyDescent="0.45"/>
  <cols>
    <col min="1" max="1" width="5" customWidth="1"/>
    <col min="2" max="2" width="13" customWidth="1"/>
    <col min="3" max="3" width="7" customWidth="1"/>
    <col min="4" max="4" width="30" customWidth="1"/>
    <col min="5" max="5" width="16" customWidth="1"/>
    <col min="6" max="6" width="28" customWidth="1"/>
    <col min="7" max="7" width="10" customWidth="1"/>
    <col min="8" max="8" width="12" customWidth="1"/>
    <col min="9" max="9" width="8" customWidth="1"/>
    <col min="10" max="10" width="14" customWidth="1"/>
    <col min="11" max="11" width="15" customWidth="1"/>
    <col min="12" max="12" width="10" customWidth="1"/>
    <col min="13" max="13" width="13" customWidth="1"/>
    <col min="14" max="14" width="12" customWidth="1"/>
  </cols>
  <sheetData>
    <row r="1" spans="1:14" ht="31.5" customHeight="1" x14ac:dyDescent="0.45">
      <c r="A1" s="1" t="s">
        <v>64</v>
      </c>
      <c r="B1" s="1" t="s">
        <v>65</v>
      </c>
      <c r="C1" s="1" t="s">
        <v>0</v>
      </c>
      <c r="D1" s="1" t="s">
        <v>1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2</v>
      </c>
      <c r="J1" s="1" t="s">
        <v>45</v>
      </c>
      <c r="K1" s="1" t="s">
        <v>70</v>
      </c>
      <c r="L1" s="1" t="s">
        <v>55</v>
      </c>
      <c r="M1" s="1" t="s">
        <v>71</v>
      </c>
      <c r="N1" s="1" t="s">
        <v>72</v>
      </c>
    </row>
    <row r="2" spans="1:14" x14ac:dyDescent="0.45">
      <c r="A2" s="7">
        <v>1</v>
      </c>
      <c r="B2" s="13">
        <v>45660</v>
      </c>
      <c r="C2" s="7" t="s">
        <v>17</v>
      </c>
      <c r="D2" s="8" t="s">
        <v>18</v>
      </c>
      <c r="E2" s="7" t="s">
        <v>73</v>
      </c>
      <c r="F2" s="8" t="s">
        <v>74</v>
      </c>
      <c r="G2" s="7"/>
      <c r="H2" s="14"/>
      <c r="I2" s="7"/>
      <c r="J2" s="10"/>
      <c r="K2" s="10"/>
      <c r="L2" s="7"/>
      <c r="M2" s="13"/>
      <c r="N2" s="7"/>
    </row>
    <row r="3" spans="1:14" x14ac:dyDescent="0.45">
      <c r="A3" s="7">
        <v>2</v>
      </c>
      <c r="B3" s="13">
        <v>45660</v>
      </c>
      <c r="C3" s="7" t="s">
        <v>21</v>
      </c>
      <c r="D3" s="8" t="s">
        <v>22</v>
      </c>
      <c r="E3" s="7" t="s">
        <v>73</v>
      </c>
      <c r="F3" s="8" t="s">
        <v>75</v>
      </c>
      <c r="G3" s="7"/>
      <c r="H3" s="14"/>
      <c r="I3" s="7"/>
      <c r="J3" s="10"/>
      <c r="K3" s="10"/>
      <c r="L3" s="7"/>
      <c r="M3" s="13"/>
      <c r="N3" s="7"/>
    </row>
    <row r="4" spans="1:14" x14ac:dyDescent="0.45">
      <c r="A4" s="7">
        <v>3</v>
      </c>
      <c r="B4" s="13">
        <v>45660</v>
      </c>
      <c r="C4" s="7" t="s">
        <v>23</v>
      </c>
      <c r="D4" s="8" t="s">
        <v>24</v>
      </c>
      <c r="E4" s="7" t="s">
        <v>73</v>
      </c>
      <c r="F4" s="8" t="s">
        <v>76</v>
      </c>
      <c r="G4" s="7"/>
      <c r="H4" s="14"/>
      <c r="I4" s="7"/>
      <c r="J4" s="10"/>
      <c r="K4" s="10"/>
      <c r="L4" s="7"/>
      <c r="M4" s="13"/>
      <c r="N4" s="7"/>
    </row>
    <row r="5" spans="1:14" x14ac:dyDescent="0.45">
      <c r="A5" s="7">
        <v>4</v>
      </c>
      <c r="B5" s="13">
        <v>45660</v>
      </c>
      <c r="C5" s="7" t="s">
        <v>25</v>
      </c>
      <c r="D5" s="8" t="s">
        <v>26</v>
      </c>
      <c r="E5" s="7" t="s">
        <v>73</v>
      </c>
      <c r="F5" s="8" t="s">
        <v>77</v>
      </c>
      <c r="G5" s="7"/>
      <c r="H5" s="14"/>
      <c r="I5" s="7"/>
      <c r="J5" s="10"/>
      <c r="K5" s="10"/>
      <c r="L5" s="7"/>
      <c r="M5" s="13"/>
      <c r="N5" s="7"/>
    </row>
    <row r="6" spans="1:14" x14ac:dyDescent="0.45">
      <c r="A6" s="7">
        <v>5</v>
      </c>
      <c r="B6" s="13">
        <v>45660</v>
      </c>
      <c r="C6" s="7" t="s">
        <v>27</v>
      </c>
      <c r="D6" s="8" t="s">
        <v>28</v>
      </c>
      <c r="E6" s="7" t="s">
        <v>73</v>
      </c>
      <c r="F6" s="8" t="s">
        <v>75</v>
      </c>
      <c r="G6" s="7"/>
      <c r="H6" s="14"/>
      <c r="I6" s="7"/>
      <c r="J6" s="10"/>
      <c r="K6" s="10"/>
      <c r="L6" s="7"/>
      <c r="M6" s="13"/>
      <c r="N6" s="7"/>
    </row>
    <row r="7" spans="1:14" x14ac:dyDescent="0.45">
      <c r="A7" s="7">
        <v>6</v>
      </c>
      <c r="B7" s="13">
        <v>45660</v>
      </c>
      <c r="C7" s="7" t="s">
        <v>29</v>
      </c>
      <c r="D7" s="8" t="s">
        <v>30</v>
      </c>
      <c r="E7" s="7" t="s">
        <v>73</v>
      </c>
      <c r="F7" s="8" t="s">
        <v>74</v>
      </c>
      <c r="G7" s="7"/>
      <c r="H7" s="14"/>
      <c r="I7" s="7"/>
      <c r="J7" s="10"/>
      <c r="K7" s="10"/>
      <c r="L7" s="7"/>
      <c r="M7" s="13"/>
      <c r="N7" s="7"/>
    </row>
    <row r="8" spans="1:14" x14ac:dyDescent="0.45">
      <c r="A8" s="7">
        <v>7</v>
      </c>
      <c r="B8" s="13">
        <v>45660</v>
      </c>
      <c r="C8" s="7" t="s">
        <v>32</v>
      </c>
      <c r="D8" s="8" t="s">
        <v>33</v>
      </c>
      <c r="E8" s="7" t="s">
        <v>73</v>
      </c>
      <c r="F8" s="8" t="s">
        <v>78</v>
      </c>
      <c r="G8" s="7"/>
      <c r="H8" s="14"/>
      <c r="I8" s="7"/>
      <c r="J8" s="10"/>
      <c r="K8" s="10"/>
      <c r="L8" s="7"/>
      <c r="M8" s="13"/>
      <c r="N8" s="7"/>
    </row>
    <row r="9" spans="1:14" x14ac:dyDescent="0.45">
      <c r="A9" s="7">
        <v>8</v>
      </c>
      <c r="B9" s="13">
        <v>45660</v>
      </c>
      <c r="C9" s="7" t="s">
        <v>35</v>
      </c>
      <c r="D9" s="8" t="s">
        <v>36</v>
      </c>
      <c r="E9" s="7" t="s">
        <v>73</v>
      </c>
      <c r="F9" s="8" t="s">
        <v>79</v>
      </c>
      <c r="G9" s="7"/>
      <c r="H9" s="14"/>
      <c r="I9" s="7"/>
      <c r="J9" s="10"/>
      <c r="K9" s="10"/>
      <c r="L9" s="7"/>
      <c r="M9" s="13"/>
      <c r="N9" s="7"/>
    </row>
    <row r="10" spans="1:14" x14ac:dyDescent="0.45">
      <c r="A10" s="7">
        <v>9</v>
      </c>
      <c r="B10" s="13">
        <v>45660</v>
      </c>
      <c r="C10" s="7" t="s">
        <v>39</v>
      </c>
      <c r="D10" s="8" t="s">
        <v>40</v>
      </c>
      <c r="E10" s="7" t="s">
        <v>73</v>
      </c>
      <c r="F10" s="8" t="s">
        <v>79</v>
      </c>
      <c r="G10" s="7"/>
      <c r="H10" s="14"/>
      <c r="I10" s="7"/>
      <c r="J10" s="10"/>
      <c r="K10" s="10"/>
      <c r="L10" s="7"/>
      <c r="M10" s="13"/>
      <c r="N10" s="7"/>
    </row>
    <row r="11" spans="1:14" x14ac:dyDescent="0.45">
      <c r="A11" s="7">
        <v>10</v>
      </c>
      <c r="B11" s="13">
        <v>45660</v>
      </c>
      <c r="C11" s="7" t="s">
        <v>42</v>
      </c>
      <c r="D11" s="8" t="s">
        <v>43</v>
      </c>
      <c r="E11" s="7" t="s">
        <v>73</v>
      </c>
      <c r="F11" s="8" t="s">
        <v>79</v>
      </c>
      <c r="G11" s="7"/>
      <c r="H11" s="14"/>
      <c r="I11" s="7"/>
      <c r="J11" s="10"/>
      <c r="K11" s="10"/>
      <c r="L11" s="7"/>
      <c r="M11" s="13"/>
      <c r="N11" s="7"/>
    </row>
    <row r="12" spans="1:14" x14ac:dyDescent="0.45">
      <c r="A12" s="7">
        <v>11</v>
      </c>
      <c r="B12" s="13">
        <v>45691</v>
      </c>
      <c r="C12" s="7" t="s">
        <v>17</v>
      </c>
      <c r="D12" s="8" t="s">
        <v>18</v>
      </c>
      <c r="E12" s="7" t="s">
        <v>73</v>
      </c>
      <c r="F12" s="8" t="s">
        <v>74</v>
      </c>
      <c r="G12" s="7"/>
      <c r="H12" s="14"/>
      <c r="I12" s="7"/>
      <c r="J12" s="10"/>
      <c r="K12" s="10"/>
      <c r="L12" s="7"/>
      <c r="M12" s="13"/>
      <c r="N12" s="7"/>
    </row>
    <row r="13" spans="1:14" x14ac:dyDescent="0.45">
      <c r="A13" s="7">
        <v>12</v>
      </c>
      <c r="B13" s="13">
        <v>45691</v>
      </c>
      <c r="C13" s="7" t="s">
        <v>21</v>
      </c>
      <c r="D13" s="8" t="s">
        <v>22</v>
      </c>
      <c r="E13" s="7" t="s">
        <v>73</v>
      </c>
      <c r="F13" s="8" t="s">
        <v>75</v>
      </c>
      <c r="G13" s="7"/>
      <c r="H13" s="14"/>
      <c r="I13" s="7"/>
      <c r="J13" s="10"/>
      <c r="K13" s="10"/>
      <c r="L13" s="7"/>
      <c r="M13" s="13"/>
      <c r="N13" s="7"/>
    </row>
    <row r="14" spans="1:14" x14ac:dyDescent="0.45">
      <c r="A14" s="7">
        <v>13</v>
      </c>
      <c r="B14" s="13">
        <v>45691</v>
      </c>
      <c r="C14" s="7" t="s">
        <v>23</v>
      </c>
      <c r="D14" s="8" t="s">
        <v>24</v>
      </c>
      <c r="E14" s="7" t="s">
        <v>73</v>
      </c>
      <c r="F14" s="8" t="s">
        <v>76</v>
      </c>
      <c r="G14" s="7"/>
      <c r="H14" s="14"/>
      <c r="I14" s="7"/>
      <c r="J14" s="10"/>
      <c r="K14" s="10"/>
      <c r="L14" s="7"/>
      <c r="M14" s="13"/>
      <c r="N14" s="7"/>
    </row>
    <row r="15" spans="1:14" x14ac:dyDescent="0.45">
      <c r="A15" s="7">
        <v>14</v>
      </c>
      <c r="B15" s="13">
        <v>45691</v>
      </c>
      <c r="C15" s="7" t="s">
        <v>25</v>
      </c>
      <c r="D15" s="8" t="s">
        <v>26</v>
      </c>
      <c r="E15" s="7" t="s">
        <v>73</v>
      </c>
      <c r="F15" s="8" t="s">
        <v>77</v>
      </c>
      <c r="G15" s="7"/>
      <c r="H15" s="14"/>
      <c r="I15" s="7"/>
      <c r="J15" s="10"/>
      <c r="K15" s="10"/>
      <c r="L15" s="7"/>
      <c r="M15" s="13"/>
      <c r="N15" s="7"/>
    </row>
    <row r="16" spans="1:14" x14ac:dyDescent="0.45">
      <c r="A16" s="7">
        <v>15</v>
      </c>
      <c r="B16" s="13">
        <v>45691</v>
      </c>
      <c r="C16" s="7" t="s">
        <v>27</v>
      </c>
      <c r="D16" s="8" t="s">
        <v>28</v>
      </c>
      <c r="E16" s="7" t="s">
        <v>73</v>
      </c>
      <c r="F16" s="8" t="s">
        <v>75</v>
      </c>
      <c r="G16" s="7"/>
      <c r="H16" s="14"/>
      <c r="I16" s="7"/>
      <c r="J16" s="10"/>
      <c r="K16" s="10"/>
      <c r="L16" s="7"/>
      <c r="M16" s="13"/>
      <c r="N16" s="7"/>
    </row>
    <row r="17" spans="1:14" x14ac:dyDescent="0.45">
      <c r="A17" s="7">
        <v>16</v>
      </c>
      <c r="B17" s="13">
        <v>45691</v>
      </c>
      <c r="C17" s="7" t="s">
        <v>29</v>
      </c>
      <c r="D17" s="8" t="s">
        <v>30</v>
      </c>
      <c r="E17" s="7" t="s">
        <v>73</v>
      </c>
      <c r="F17" s="8" t="s">
        <v>74</v>
      </c>
      <c r="G17" s="7"/>
      <c r="H17" s="14"/>
      <c r="I17" s="7"/>
      <c r="J17" s="10"/>
      <c r="K17" s="10"/>
      <c r="L17" s="7"/>
      <c r="M17" s="13"/>
      <c r="N17" s="7"/>
    </row>
    <row r="18" spans="1:14" x14ac:dyDescent="0.45">
      <c r="A18" s="7">
        <v>17</v>
      </c>
      <c r="B18" s="13">
        <v>45691</v>
      </c>
      <c r="C18" s="7" t="s">
        <v>32</v>
      </c>
      <c r="D18" s="8" t="s">
        <v>33</v>
      </c>
      <c r="E18" s="7" t="s">
        <v>73</v>
      </c>
      <c r="F18" s="8" t="s">
        <v>78</v>
      </c>
      <c r="G18" s="7"/>
      <c r="H18" s="14"/>
      <c r="I18" s="7"/>
      <c r="J18" s="10"/>
      <c r="K18" s="10"/>
      <c r="L18" s="7"/>
      <c r="M18" s="13"/>
      <c r="N18" s="7"/>
    </row>
    <row r="19" spans="1:14" x14ac:dyDescent="0.45">
      <c r="A19" s="7">
        <v>18</v>
      </c>
      <c r="B19" s="13">
        <v>45691</v>
      </c>
      <c r="C19" s="7" t="s">
        <v>35</v>
      </c>
      <c r="D19" s="8" t="s">
        <v>36</v>
      </c>
      <c r="E19" s="7" t="s">
        <v>73</v>
      </c>
      <c r="F19" s="8" t="s">
        <v>79</v>
      </c>
      <c r="G19" s="7"/>
      <c r="H19" s="14"/>
      <c r="I19" s="7"/>
      <c r="J19" s="10"/>
      <c r="K19" s="10"/>
      <c r="L19" s="7"/>
      <c r="M19" s="13"/>
      <c r="N19" s="7"/>
    </row>
    <row r="20" spans="1:14" x14ac:dyDescent="0.45">
      <c r="A20" s="7">
        <v>19</v>
      </c>
      <c r="B20" s="13">
        <v>45691</v>
      </c>
      <c r="C20" s="7" t="s">
        <v>39</v>
      </c>
      <c r="D20" s="8" t="s">
        <v>40</v>
      </c>
      <c r="E20" s="7" t="s">
        <v>73</v>
      </c>
      <c r="F20" s="8" t="s">
        <v>79</v>
      </c>
      <c r="G20" s="7"/>
      <c r="H20" s="14"/>
      <c r="I20" s="7"/>
      <c r="J20" s="10"/>
      <c r="K20" s="10"/>
      <c r="L20" s="7"/>
      <c r="M20" s="13"/>
      <c r="N20" s="7"/>
    </row>
    <row r="21" spans="1:14" x14ac:dyDescent="0.45">
      <c r="A21" s="7">
        <v>20</v>
      </c>
      <c r="B21" s="13">
        <v>45691</v>
      </c>
      <c r="C21" s="7" t="s">
        <v>42</v>
      </c>
      <c r="D21" s="8" t="s">
        <v>43</v>
      </c>
      <c r="E21" s="7" t="s">
        <v>73</v>
      </c>
      <c r="F21" s="8" t="s">
        <v>79</v>
      </c>
      <c r="G21" s="7"/>
      <c r="H21" s="14"/>
      <c r="I21" s="7"/>
      <c r="J21" s="10"/>
      <c r="K21" s="10"/>
      <c r="L21" s="7"/>
      <c r="M21" s="13"/>
      <c r="N21" s="7"/>
    </row>
    <row r="22" spans="1:14" x14ac:dyDescent="0.45">
      <c r="A22" s="7">
        <v>21</v>
      </c>
      <c r="B22" s="13">
        <v>45706</v>
      </c>
      <c r="C22" s="7" t="s">
        <v>39</v>
      </c>
      <c r="D22" s="8" t="s">
        <v>40</v>
      </c>
      <c r="E22" s="7" t="s">
        <v>73</v>
      </c>
      <c r="F22" s="8" t="s">
        <v>79</v>
      </c>
      <c r="G22" s="7"/>
      <c r="H22" s="14"/>
      <c r="I22" s="7"/>
      <c r="J22" s="10"/>
      <c r="K22" s="10"/>
      <c r="L22" s="7"/>
      <c r="M22" s="13"/>
      <c r="N22" s="7"/>
    </row>
    <row r="23" spans="1:14" x14ac:dyDescent="0.45">
      <c r="A23" s="7">
        <v>22</v>
      </c>
      <c r="B23" s="13">
        <v>45719</v>
      </c>
      <c r="C23" s="7" t="s">
        <v>17</v>
      </c>
      <c r="D23" s="8" t="s">
        <v>18</v>
      </c>
      <c r="E23" s="7" t="s">
        <v>73</v>
      </c>
      <c r="F23" s="8" t="s">
        <v>74</v>
      </c>
      <c r="G23" s="7"/>
      <c r="H23" s="14"/>
      <c r="I23" s="7"/>
      <c r="J23" s="10"/>
      <c r="K23" s="10"/>
      <c r="L23" s="7"/>
      <c r="M23" s="13"/>
      <c r="N23" s="7"/>
    </row>
    <row r="24" spans="1:14" x14ac:dyDescent="0.45">
      <c r="A24" s="7">
        <v>23</v>
      </c>
      <c r="B24" s="13">
        <v>45719</v>
      </c>
      <c r="C24" s="7" t="s">
        <v>21</v>
      </c>
      <c r="D24" s="8" t="s">
        <v>22</v>
      </c>
      <c r="E24" s="7" t="s">
        <v>73</v>
      </c>
      <c r="F24" s="8" t="s">
        <v>75</v>
      </c>
      <c r="G24" s="7"/>
      <c r="H24" s="14"/>
      <c r="I24" s="7"/>
      <c r="J24" s="10"/>
      <c r="K24" s="10"/>
      <c r="L24" s="7"/>
      <c r="M24" s="13"/>
      <c r="N24" s="7"/>
    </row>
    <row r="25" spans="1:14" x14ac:dyDescent="0.45">
      <c r="A25" s="7">
        <v>24</v>
      </c>
      <c r="B25" s="13">
        <v>45719</v>
      </c>
      <c r="C25" s="7" t="s">
        <v>23</v>
      </c>
      <c r="D25" s="8" t="s">
        <v>24</v>
      </c>
      <c r="E25" s="7" t="s">
        <v>73</v>
      </c>
      <c r="F25" s="8" t="s">
        <v>76</v>
      </c>
      <c r="G25" s="7"/>
      <c r="H25" s="14"/>
      <c r="I25" s="7"/>
      <c r="J25" s="10"/>
      <c r="K25" s="10"/>
      <c r="L25" s="7"/>
      <c r="M25" s="13"/>
      <c r="N25" s="7"/>
    </row>
    <row r="26" spans="1:14" x14ac:dyDescent="0.45">
      <c r="A26" s="7">
        <v>25</v>
      </c>
      <c r="B26" s="13">
        <v>45719</v>
      </c>
      <c r="C26" s="7" t="s">
        <v>25</v>
      </c>
      <c r="D26" s="8" t="s">
        <v>26</v>
      </c>
      <c r="E26" s="7" t="s">
        <v>73</v>
      </c>
      <c r="F26" s="8" t="s">
        <v>77</v>
      </c>
      <c r="G26" s="7"/>
      <c r="H26" s="14"/>
      <c r="I26" s="7"/>
      <c r="J26" s="10"/>
      <c r="K26" s="10"/>
      <c r="L26" s="7"/>
      <c r="M26" s="13"/>
      <c r="N26" s="7"/>
    </row>
    <row r="27" spans="1:14" x14ac:dyDescent="0.45">
      <c r="A27" s="7">
        <v>26</v>
      </c>
      <c r="B27" s="13">
        <v>45719</v>
      </c>
      <c r="C27" s="7" t="s">
        <v>27</v>
      </c>
      <c r="D27" s="8" t="s">
        <v>28</v>
      </c>
      <c r="E27" s="7" t="s">
        <v>73</v>
      </c>
      <c r="F27" s="8" t="s">
        <v>75</v>
      </c>
      <c r="G27" s="7"/>
      <c r="H27" s="14"/>
      <c r="I27" s="7"/>
      <c r="J27" s="10"/>
      <c r="K27" s="10"/>
      <c r="L27" s="7"/>
      <c r="M27" s="13"/>
      <c r="N27" s="7"/>
    </row>
    <row r="28" spans="1:14" x14ac:dyDescent="0.45">
      <c r="A28" s="7">
        <v>27</v>
      </c>
      <c r="B28" s="13">
        <v>45719</v>
      </c>
      <c r="C28" s="7" t="s">
        <v>29</v>
      </c>
      <c r="D28" s="8" t="s">
        <v>30</v>
      </c>
      <c r="E28" s="7" t="s">
        <v>73</v>
      </c>
      <c r="F28" s="8" t="s">
        <v>74</v>
      </c>
      <c r="G28" s="7"/>
      <c r="H28" s="14"/>
      <c r="I28" s="7"/>
      <c r="J28" s="10"/>
      <c r="K28" s="10"/>
      <c r="L28" s="7"/>
      <c r="M28" s="13"/>
      <c r="N28" s="7"/>
    </row>
    <row r="29" spans="1:14" x14ac:dyDescent="0.45">
      <c r="A29" s="7">
        <v>28</v>
      </c>
      <c r="B29" s="13">
        <v>45719</v>
      </c>
      <c r="C29" s="7" t="s">
        <v>32</v>
      </c>
      <c r="D29" s="8" t="s">
        <v>33</v>
      </c>
      <c r="E29" s="7" t="s">
        <v>73</v>
      </c>
      <c r="F29" s="8" t="s">
        <v>78</v>
      </c>
      <c r="G29" s="7"/>
      <c r="H29" s="14"/>
      <c r="I29" s="7"/>
      <c r="J29" s="10"/>
      <c r="K29" s="10"/>
      <c r="L29" s="7"/>
      <c r="M29" s="13"/>
      <c r="N29" s="7"/>
    </row>
    <row r="30" spans="1:14" x14ac:dyDescent="0.45">
      <c r="A30" s="7">
        <v>29</v>
      </c>
      <c r="B30" s="13">
        <v>45719</v>
      </c>
      <c r="C30" s="7" t="s">
        <v>35</v>
      </c>
      <c r="D30" s="8" t="s">
        <v>36</v>
      </c>
      <c r="E30" s="7" t="s">
        <v>73</v>
      </c>
      <c r="F30" s="8" t="s">
        <v>79</v>
      </c>
      <c r="G30" s="7"/>
      <c r="H30" s="14"/>
      <c r="I30" s="7"/>
      <c r="J30" s="10"/>
      <c r="K30" s="10"/>
      <c r="L30" s="7"/>
      <c r="M30" s="13"/>
      <c r="N30" s="7"/>
    </row>
    <row r="31" spans="1:14" x14ac:dyDescent="0.45">
      <c r="A31" s="7">
        <v>30</v>
      </c>
      <c r="B31" s="13">
        <v>45719</v>
      </c>
      <c r="C31" s="7" t="s">
        <v>39</v>
      </c>
      <c r="D31" s="8" t="s">
        <v>40</v>
      </c>
      <c r="E31" s="7" t="s">
        <v>73</v>
      </c>
      <c r="F31" s="8" t="s">
        <v>79</v>
      </c>
      <c r="G31" s="7"/>
      <c r="H31" s="14"/>
      <c r="I31" s="7"/>
      <c r="J31" s="10"/>
      <c r="K31" s="10"/>
      <c r="L31" s="7"/>
      <c r="M31" s="13"/>
      <c r="N31" s="7"/>
    </row>
    <row r="32" spans="1:14" x14ac:dyDescent="0.45">
      <c r="A32" s="7">
        <v>31</v>
      </c>
      <c r="B32" s="13">
        <v>45719</v>
      </c>
      <c r="C32" s="7" t="s">
        <v>42</v>
      </c>
      <c r="D32" s="8" t="s">
        <v>43</v>
      </c>
      <c r="E32" s="7" t="s">
        <v>73</v>
      </c>
      <c r="F32" s="8" t="s">
        <v>79</v>
      </c>
      <c r="G32" s="7"/>
      <c r="H32" s="14"/>
      <c r="I32" s="7"/>
      <c r="J32" s="10"/>
      <c r="K32" s="10"/>
      <c r="L32" s="7"/>
      <c r="M32" s="13"/>
      <c r="N32" s="7"/>
    </row>
    <row r="33" spans="1:14" x14ac:dyDescent="0.45">
      <c r="A33" s="7">
        <v>32</v>
      </c>
      <c r="B33" s="13">
        <v>45750</v>
      </c>
      <c r="C33" s="7" t="s">
        <v>17</v>
      </c>
      <c r="D33" s="8" t="s">
        <v>18</v>
      </c>
      <c r="E33" s="7" t="s">
        <v>73</v>
      </c>
      <c r="F33" s="8" t="s">
        <v>74</v>
      </c>
      <c r="G33" s="7"/>
      <c r="H33" s="14"/>
      <c r="I33" s="7"/>
      <c r="J33" s="10"/>
      <c r="K33" s="10"/>
      <c r="L33" s="7"/>
      <c r="M33" s="13"/>
      <c r="N33" s="7"/>
    </row>
    <row r="34" spans="1:14" x14ac:dyDescent="0.45">
      <c r="A34" s="7">
        <v>33</v>
      </c>
      <c r="B34" s="13">
        <v>45750</v>
      </c>
      <c r="C34" s="7" t="s">
        <v>21</v>
      </c>
      <c r="D34" s="8" t="s">
        <v>22</v>
      </c>
      <c r="E34" s="7" t="s">
        <v>73</v>
      </c>
      <c r="F34" s="8" t="s">
        <v>75</v>
      </c>
      <c r="G34" s="7"/>
      <c r="H34" s="14"/>
      <c r="I34" s="7"/>
      <c r="J34" s="10"/>
      <c r="K34" s="10"/>
      <c r="L34" s="7"/>
      <c r="M34" s="13"/>
      <c r="N34" s="7"/>
    </row>
    <row r="35" spans="1:14" x14ac:dyDescent="0.45">
      <c r="A35" s="7">
        <v>34</v>
      </c>
      <c r="B35" s="13">
        <v>45750</v>
      </c>
      <c r="C35" s="7" t="s">
        <v>23</v>
      </c>
      <c r="D35" s="8" t="s">
        <v>24</v>
      </c>
      <c r="E35" s="7" t="s">
        <v>73</v>
      </c>
      <c r="F35" s="8" t="s">
        <v>76</v>
      </c>
      <c r="G35" s="7"/>
      <c r="H35" s="14"/>
      <c r="I35" s="7"/>
      <c r="J35" s="10"/>
      <c r="K35" s="10"/>
      <c r="L35" s="7"/>
      <c r="M35" s="13"/>
      <c r="N35" s="7"/>
    </row>
    <row r="36" spans="1:14" x14ac:dyDescent="0.45">
      <c r="A36" s="7">
        <v>35</v>
      </c>
      <c r="B36" s="13">
        <v>45750</v>
      </c>
      <c r="C36" s="7" t="s">
        <v>25</v>
      </c>
      <c r="D36" s="8" t="s">
        <v>26</v>
      </c>
      <c r="E36" s="7" t="s">
        <v>73</v>
      </c>
      <c r="F36" s="8" t="s">
        <v>77</v>
      </c>
      <c r="G36" s="7"/>
      <c r="H36" s="14"/>
      <c r="I36" s="7"/>
      <c r="J36" s="10"/>
      <c r="K36" s="10"/>
      <c r="L36" s="7"/>
      <c r="M36" s="13"/>
      <c r="N36" s="7"/>
    </row>
    <row r="37" spans="1:14" x14ac:dyDescent="0.45">
      <c r="A37" s="7">
        <v>36</v>
      </c>
      <c r="B37" s="13">
        <v>45750</v>
      </c>
      <c r="C37" s="7" t="s">
        <v>27</v>
      </c>
      <c r="D37" s="8" t="s">
        <v>28</v>
      </c>
      <c r="E37" s="7" t="s">
        <v>73</v>
      </c>
      <c r="F37" s="8" t="s">
        <v>75</v>
      </c>
      <c r="G37" s="7"/>
      <c r="H37" s="14"/>
      <c r="I37" s="7"/>
      <c r="J37" s="10"/>
      <c r="K37" s="10"/>
      <c r="L37" s="7"/>
      <c r="M37" s="13"/>
      <c r="N37" s="7"/>
    </row>
    <row r="38" spans="1:14" x14ac:dyDescent="0.45">
      <c r="A38" s="7">
        <v>37</v>
      </c>
      <c r="B38" s="13">
        <v>45750</v>
      </c>
      <c r="C38" s="7" t="s">
        <v>29</v>
      </c>
      <c r="D38" s="8" t="s">
        <v>30</v>
      </c>
      <c r="E38" s="7" t="s">
        <v>73</v>
      </c>
      <c r="F38" s="8" t="s">
        <v>74</v>
      </c>
      <c r="G38" s="7"/>
      <c r="H38" s="14"/>
      <c r="I38" s="7"/>
      <c r="J38" s="10"/>
      <c r="K38" s="10"/>
      <c r="L38" s="7"/>
      <c r="M38" s="13"/>
      <c r="N38" s="7"/>
    </row>
    <row r="39" spans="1:14" x14ac:dyDescent="0.45">
      <c r="A39" s="7">
        <v>38</v>
      </c>
      <c r="B39" s="13">
        <v>45750</v>
      </c>
      <c r="C39" s="7" t="s">
        <v>32</v>
      </c>
      <c r="D39" s="8" t="s">
        <v>33</v>
      </c>
      <c r="E39" s="7" t="s">
        <v>73</v>
      </c>
      <c r="F39" s="8" t="s">
        <v>78</v>
      </c>
      <c r="G39" s="7"/>
      <c r="H39" s="14"/>
      <c r="I39" s="7"/>
      <c r="J39" s="10"/>
      <c r="K39" s="10"/>
      <c r="L39" s="7"/>
      <c r="M39" s="13"/>
      <c r="N39" s="7"/>
    </row>
    <row r="40" spans="1:14" x14ac:dyDescent="0.45">
      <c r="A40" s="7">
        <v>39</v>
      </c>
      <c r="B40" s="13">
        <v>45750</v>
      </c>
      <c r="C40" s="7" t="s">
        <v>35</v>
      </c>
      <c r="D40" s="8" t="s">
        <v>36</v>
      </c>
      <c r="E40" s="7" t="s">
        <v>73</v>
      </c>
      <c r="F40" s="8" t="s">
        <v>79</v>
      </c>
      <c r="G40" s="7"/>
      <c r="H40" s="14"/>
      <c r="I40" s="7"/>
      <c r="J40" s="10"/>
      <c r="K40" s="10"/>
      <c r="L40" s="7"/>
      <c r="M40" s="13"/>
      <c r="N40" s="7"/>
    </row>
    <row r="41" spans="1:14" x14ac:dyDescent="0.45">
      <c r="A41" s="7">
        <v>40</v>
      </c>
      <c r="B41" s="13">
        <v>45750</v>
      </c>
      <c r="C41" s="7" t="s">
        <v>39</v>
      </c>
      <c r="D41" s="8" t="s">
        <v>40</v>
      </c>
      <c r="E41" s="7" t="s">
        <v>73</v>
      </c>
      <c r="F41" s="8" t="s">
        <v>79</v>
      </c>
      <c r="G41" s="7"/>
      <c r="H41" s="14"/>
      <c r="I41" s="7"/>
      <c r="J41" s="10"/>
      <c r="K41" s="10"/>
      <c r="L41" s="7"/>
      <c r="M41" s="13"/>
      <c r="N41" s="7"/>
    </row>
    <row r="42" spans="1:14" x14ac:dyDescent="0.45">
      <c r="A42" s="7">
        <v>41</v>
      </c>
      <c r="B42" s="13">
        <v>45750</v>
      </c>
      <c r="C42" s="7" t="s">
        <v>42</v>
      </c>
      <c r="D42" s="8" t="s">
        <v>43</v>
      </c>
      <c r="E42" s="7" t="s">
        <v>73</v>
      </c>
      <c r="F42" s="8" t="s">
        <v>79</v>
      </c>
      <c r="G42" s="7"/>
      <c r="H42" s="14"/>
      <c r="I42" s="7"/>
      <c r="J42" s="10"/>
      <c r="K42" s="10"/>
      <c r="L42" s="7"/>
      <c r="M42" s="13"/>
      <c r="N42" s="7"/>
    </row>
    <row r="43" spans="1:14" x14ac:dyDescent="0.45">
      <c r="A43" s="7">
        <v>42</v>
      </c>
      <c r="B43" s="13">
        <v>45780</v>
      </c>
      <c r="C43" s="7" t="s">
        <v>17</v>
      </c>
      <c r="D43" s="8" t="s">
        <v>18</v>
      </c>
      <c r="E43" s="7" t="s">
        <v>73</v>
      </c>
      <c r="F43" s="8" t="s">
        <v>74</v>
      </c>
      <c r="G43" s="7"/>
      <c r="H43" s="14"/>
      <c r="I43" s="7"/>
      <c r="J43" s="10"/>
      <c r="K43" s="10"/>
      <c r="L43" s="7"/>
      <c r="M43" s="13"/>
      <c r="N43" s="7"/>
    </row>
    <row r="44" spans="1:14" x14ac:dyDescent="0.45">
      <c r="A44" s="7">
        <v>43</v>
      </c>
      <c r="B44" s="13">
        <v>45780</v>
      </c>
      <c r="C44" s="7" t="s">
        <v>21</v>
      </c>
      <c r="D44" s="8" t="s">
        <v>22</v>
      </c>
      <c r="E44" s="7" t="s">
        <v>73</v>
      </c>
      <c r="F44" s="8" t="s">
        <v>75</v>
      </c>
      <c r="G44" s="7"/>
      <c r="H44" s="14"/>
      <c r="I44" s="7"/>
      <c r="J44" s="10"/>
      <c r="K44" s="10"/>
      <c r="L44" s="7"/>
      <c r="M44" s="13"/>
      <c r="N44" s="7"/>
    </row>
    <row r="45" spans="1:14" x14ac:dyDescent="0.45">
      <c r="A45" s="7">
        <v>44</v>
      </c>
      <c r="B45" s="13">
        <v>45780</v>
      </c>
      <c r="C45" s="7" t="s">
        <v>23</v>
      </c>
      <c r="D45" s="8" t="s">
        <v>24</v>
      </c>
      <c r="E45" s="7" t="s">
        <v>73</v>
      </c>
      <c r="F45" s="8" t="s">
        <v>76</v>
      </c>
      <c r="G45" s="7"/>
      <c r="H45" s="14"/>
      <c r="I45" s="7"/>
      <c r="J45" s="10"/>
      <c r="K45" s="10"/>
      <c r="L45" s="7"/>
      <c r="M45" s="13"/>
      <c r="N45" s="7"/>
    </row>
    <row r="46" spans="1:14" x14ac:dyDescent="0.45">
      <c r="A46" s="7">
        <v>45</v>
      </c>
      <c r="B46" s="13">
        <v>45780</v>
      </c>
      <c r="C46" s="7" t="s">
        <v>25</v>
      </c>
      <c r="D46" s="8" t="s">
        <v>26</v>
      </c>
      <c r="E46" s="7" t="s">
        <v>73</v>
      </c>
      <c r="F46" s="8" t="s">
        <v>77</v>
      </c>
      <c r="G46" s="7"/>
      <c r="H46" s="14"/>
      <c r="I46" s="7"/>
      <c r="J46" s="10"/>
      <c r="K46" s="10"/>
      <c r="L46" s="7"/>
      <c r="M46" s="13"/>
      <c r="N46" s="7"/>
    </row>
    <row r="47" spans="1:14" x14ac:dyDescent="0.45">
      <c r="A47" s="7">
        <v>46</v>
      </c>
      <c r="B47" s="13">
        <v>45780</v>
      </c>
      <c r="C47" s="7" t="s">
        <v>27</v>
      </c>
      <c r="D47" s="8" t="s">
        <v>28</v>
      </c>
      <c r="E47" s="7" t="s">
        <v>73</v>
      </c>
      <c r="F47" s="8" t="s">
        <v>75</v>
      </c>
      <c r="G47" s="7"/>
      <c r="H47" s="14"/>
      <c r="I47" s="7"/>
      <c r="J47" s="10"/>
      <c r="K47" s="10"/>
      <c r="L47" s="7"/>
      <c r="M47" s="13"/>
      <c r="N47" s="7"/>
    </row>
    <row r="48" spans="1:14" x14ac:dyDescent="0.45">
      <c r="A48" s="7">
        <v>47</v>
      </c>
      <c r="B48" s="13">
        <v>45780</v>
      </c>
      <c r="C48" s="7" t="s">
        <v>29</v>
      </c>
      <c r="D48" s="8" t="s">
        <v>30</v>
      </c>
      <c r="E48" s="7" t="s">
        <v>73</v>
      </c>
      <c r="F48" s="8" t="s">
        <v>74</v>
      </c>
      <c r="G48" s="7"/>
      <c r="H48" s="14"/>
      <c r="I48" s="7"/>
      <c r="J48" s="10"/>
      <c r="K48" s="10"/>
      <c r="L48" s="7"/>
      <c r="M48" s="13"/>
      <c r="N48" s="7"/>
    </row>
    <row r="49" spans="1:14" x14ac:dyDescent="0.45">
      <c r="A49" s="7">
        <v>48</v>
      </c>
      <c r="B49" s="13">
        <v>45780</v>
      </c>
      <c r="C49" s="7" t="s">
        <v>32</v>
      </c>
      <c r="D49" s="8" t="s">
        <v>33</v>
      </c>
      <c r="E49" s="7" t="s">
        <v>73</v>
      </c>
      <c r="F49" s="8" t="s">
        <v>78</v>
      </c>
      <c r="G49" s="7"/>
      <c r="H49" s="14"/>
      <c r="I49" s="7"/>
      <c r="J49" s="10"/>
      <c r="K49" s="10"/>
      <c r="L49" s="7"/>
      <c r="M49" s="13"/>
      <c r="N49" s="7"/>
    </row>
    <row r="50" spans="1:14" x14ac:dyDescent="0.45">
      <c r="A50" s="7">
        <v>49</v>
      </c>
      <c r="B50" s="13">
        <v>45780</v>
      </c>
      <c r="C50" s="7" t="s">
        <v>35</v>
      </c>
      <c r="D50" s="8" t="s">
        <v>36</v>
      </c>
      <c r="E50" s="7" t="s">
        <v>73</v>
      </c>
      <c r="F50" s="8" t="s">
        <v>79</v>
      </c>
      <c r="G50" s="7"/>
      <c r="H50" s="14"/>
      <c r="I50" s="7"/>
      <c r="J50" s="10"/>
      <c r="K50" s="10"/>
      <c r="L50" s="7"/>
      <c r="M50" s="13"/>
      <c r="N50" s="7"/>
    </row>
    <row r="51" spans="1:14" x14ac:dyDescent="0.45">
      <c r="A51" s="7">
        <v>50</v>
      </c>
      <c r="B51" s="13">
        <v>45780</v>
      </c>
      <c r="C51" s="7" t="s">
        <v>39</v>
      </c>
      <c r="D51" s="8" t="s">
        <v>40</v>
      </c>
      <c r="E51" s="7" t="s">
        <v>73</v>
      </c>
      <c r="F51" s="8" t="s">
        <v>79</v>
      </c>
      <c r="G51" s="7"/>
      <c r="H51" s="14"/>
      <c r="I51" s="7"/>
      <c r="J51" s="10"/>
      <c r="K51" s="10"/>
      <c r="L51" s="7"/>
      <c r="M51" s="13"/>
      <c r="N51" s="7"/>
    </row>
    <row r="52" spans="1:14" x14ac:dyDescent="0.45">
      <c r="A52" s="7">
        <v>51</v>
      </c>
      <c r="B52" s="13">
        <v>45780</v>
      </c>
      <c r="C52" s="7" t="s">
        <v>42</v>
      </c>
      <c r="D52" s="8" t="s">
        <v>43</v>
      </c>
      <c r="E52" s="7" t="s">
        <v>73</v>
      </c>
      <c r="F52" s="8" t="s">
        <v>79</v>
      </c>
      <c r="G52" s="7"/>
      <c r="H52" s="14"/>
      <c r="I52" s="7"/>
      <c r="J52" s="10"/>
      <c r="K52" s="10"/>
      <c r="L52" s="7"/>
      <c r="M52" s="13"/>
      <c r="N52" s="7"/>
    </row>
    <row r="53" spans="1:14" x14ac:dyDescent="0.45">
      <c r="A53" s="7">
        <v>52</v>
      </c>
      <c r="B53" s="13">
        <v>45811</v>
      </c>
      <c r="C53" s="7" t="s">
        <v>17</v>
      </c>
      <c r="D53" s="8" t="s">
        <v>18</v>
      </c>
      <c r="E53" s="7" t="s">
        <v>73</v>
      </c>
      <c r="F53" s="8" t="s">
        <v>74</v>
      </c>
      <c r="G53" s="7"/>
      <c r="H53" s="14"/>
      <c r="I53" s="7"/>
      <c r="J53" s="10"/>
      <c r="K53" s="10"/>
      <c r="L53" s="7"/>
      <c r="M53" s="13"/>
      <c r="N53" s="7"/>
    </row>
    <row r="54" spans="1:14" x14ac:dyDescent="0.45">
      <c r="A54" s="7">
        <v>53</v>
      </c>
      <c r="B54" s="13">
        <v>45811</v>
      </c>
      <c r="C54" s="7" t="s">
        <v>21</v>
      </c>
      <c r="D54" s="8" t="s">
        <v>22</v>
      </c>
      <c r="E54" s="7" t="s">
        <v>73</v>
      </c>
      <c r="F54" s="8" t="s">
        <v>75</v>
      </c>
      <c r="G54" s="7"/>
      <c r="H54" s="14"/>
      <c r="I54" s="7"/>
      <c r="J54" s="10"/>
      <c r="K54" s="10"/>
      <c r="L54" s="7"/>
      <c r="M54" s="13"/>
      <c r="N54" s="7"/>
    </row>
    <row r="55" spans="1:14" x14ac:dyDescent="0.45">
      <c r="A55" s="7">
        <v>54</v>
      </c>
      <c r="B55" s="13">
        <v>45811</v>
      </c>
      <c r="C55" s="7" t="s">
        <v>23</v>
      </c>
      <c r="D55" s="8" t="s">
        <v>24</v>
      </c>
      <c r="E55" s="7" t="s">
        <v>73</v>
      </c>
      <c r="F55" s="8" t="s">
        <v>76</v>
      </c>
      <c r="G55" s="7"/>
      <c r="H55" s="14"/>
      <c r="I55" s="7"/>
      <c r="J55" s="10"/>
      <c r="K55" s="10"/>
      <c r="L55" s="7"/>
      <c r="M55" s="13"/>
      <c r="N55" s="7"/>
    </row>
    <row r="56" spans="1:14" x14ac:dyDescent="0.45">
      <c r="A56" s="7">
        <v>55</v>
      </c>
      <c r="B56" s="13">
        <v>45811</v>
      </c>
      <c r="C56" s="7" t="s">
        <v>25</v>
      </c>
      <c r="D56" s="8" t="s">
        <v>26</v>
      </c>
      <c r="E56" s="7" t="s">
        <v>73</v>
      </c>
      <c r="F56" s="8" t="s">
        <v>77</v>
      </c>
      <c r="G56" s="7"/>
      <c r="H56" s="14"/>
      <c r="I56" s="7"/>
      <c r="J56" s="10"/>
      <c r="K56" s="10"/>
      <c r="L56" s="7"/>
      <c r="M56" s="13"/>
      <c r="N56" s="7"/>
    </row>
    <row r="57" spans="1:14" x14ac:dyDescent="0.45">
      <c r="A57" s="7">
        <v>56</v>
      </c>
      <c r="B57" s="13">
        <v>45811</v>
      </c>
      <c r="C57" s="7" t="s">
        <v>27</v>
      </c>
      <c r="D57" s="8" t="s">
        <v>28</v>
      </c>
      <c r="E57" s="7" t="s">
        <v>73</v>
      </c>
      <c r="F57" s="8" t="s">
        <v>75</v>
      </c>
      <c r="G57" s="7"/>
      <c r="H57" s="14"/>
      <c r="I57" s="7"/>
      <c r="J57" s="10"/>
      <c r="K57" s="10"/>
      <c r="L57" s="7"/>
      <c r="M57" s="13"/>
      <c r="N57" s="7"/>
    </row>
    <row r="58" spans="1:14" x14ac:dyDescent="0.45">
      <c r="A58" s="7">
        <v>57</v>
      </c>
      <c r="B58" s="13">
        <v>45811</v>
      </c>
      <c r="C58" s="7" t="s">
        <v>29</v>
      </c>
      <c r="D58" s="8" t="s">
        <v>30</v>
      </c>
      <c r="E58" s="7" t="s">
        <v>73</v>
      </c>
      <c r="F58" s="8" t="s">
        <v>74</v>
      </c>
      <c r="G58" s="7"/>
      <c r="H58" s="14"/>
      <c r="I58" s="7"/>
      <c r="J58" s="10"/>
      <c r="K58" s="10"/>
      <c r="L58" s="7"/>
      <c r="M58" s="13"/>
      <c r="N58" s="7"/>
    </row>
    <row r="59" spans="1:14" x14ac:dyDescent="0.45">
      <c r="A59" s="7">
        <v>58</v>
      </c>
      <c r="B59" s="13">
        <v>45811</v>
      </c>
      <c r="C59" s="7" t="s">
        <v>32</v>
      </c>
      <c r="D59" s="8" t="s">
        <v>33</v>
      </c>
      <c r="E59" s="7" t="s">
        <v>73</v>
      </c>
      <c r="F59" s="8" t="s">
        <v>78</v>
      </c>
      <c r="G59" s="7"/>
      <c r="H59" s="14"/>
      <c r="I59" s="7"/>
      <c r="J59" s="10"/>
      <c r="K59" s="10"/>
      <c r="L59" s="7"/>
      <c r="M59" s="13"/>
      <c r="N59" s="7"/>
    </row>
    <row r="60" spans="1:14" x14ac:dyDescent="0.45">
      <c r="A60" s="7">
        <v>59</v>
      </c>
      <c r="B60" s="13">
        <v>45811</v>
      </c>
      <c r="C60" s="7" t="s">
        <v>35</v>
      </c>
      <c r="D60" s="8" t="s">
        <v>36</v>
      </c>
      <c r="E60" s="7" t="s">
        <v>73</v>
      </c>
      <c r="F60" s="8" t="s">
        <v>79</v>
      </c>
      <c r="G60" s="7"/>
      <c r="H60" s="14"/>
      <c r="I60" s="7"/>
      <c r="J60" s="10"/>
      <c r="K60" s="10"/>
      <c r="L60" s="7"/>
      <c r="M60" s="13"/>
      <c r="N60" s="7"/>
    </row>
    <row r="61" spans="1:14" x14ac:dyDescent="0.45">
      <c r="A61" s="7">
        <v>60</v>
      </c>
      <c r="B61" s="13">
        <v>45811</v>
      </c>
      <c r="C61" s="7" t="s">
        <v>39</v>
      </c>
      <c r="D61" s="8" t="s">
        <v>40</v>
      </c>
      <c r="E61" s="7" t="s">
        <v>73</v>
      </c>
      <c r="F61" s="8" t="s">
        <v>79</v>
      </c>
      <c r="G61" s="7"/>
      <c r="H61" s="14"/>
      <c r="I61" s="7"/>
      <c r="J61" s="10"/>
      <c r="K61" s="10"/>
      <c r="L61" s="7"/>
      <c r="M61" s="13"/>
      <c r="N61" s="7"/>
    </row>
    <row r="62" spans="1:14" x14ac:dyDescent="0.45">
      <c r="A62" s="7">
        <v>61</v>
      </c>
      <c r="B62" s="13">
        <v>45811</v>
      </c>
      <c r="C62" s="7" t="s">
        <v>42</v>
      </c>
      <c r="D62" s="8" t="s">
        <v>43</v>
      </c>
      <c r="E62" s="7" t="s">
        <v>73</v>
      </c>
      <c r="F62" s="8" t="s">
        <v>79</v>
      </c>
      <c r="G62" s="7"/>
      <c r="H62" s="14"/>
      <c r="I62" s="7"/>
      <c r="J62" s="10"/>
      <c r="K62" s="10"/>
      <c r="L62" s="7"/>
      <c r="M62" s="13"/>
      <c r="N62" s="7"/>
    </row>
    <row r="63" spans="1:14" x14ac:dyDescent="0.45">
      <c r="A63" s="7">
        <v>62</v>
      </c>
      <c r="B63" s="13">
        <v>45841</v>
      </c>
      <c r="C63" s="7" t="s">
        <v>17</v>
      </c>
      <c r="D63" s="8" t="s">
        <v>18</v>
      </c>
      <c r="E63" s="7" t="s">
        <v>73</v>
      </c>
      <c r="F63" s="8" t="s">
        <v>74</v>
      </c>
      <c r="G63" s="7"/>
      <c r="H63" s="14"/>
      <c r="I63" s="7"/>
      <c r="J63" s="10"/>
      <c r="K63" s="10"/>
      <c r="L63" s="7"/>
      <c r="M63" s="13"/>
      <c r="N63" s="7"/>
    </row>
    <row r="64" spans="1:14" x14ac:dyDescent="0.45">
      <c r="A64" s="7">
        <v>63</v>
      </c>
      <c r="B64" s="13">
        <v>45841</v>
      </c>
      <c r="C64" s="7" t="s">
        <v>21</v>
      </c>
      <c r="D64" s="8" t="s">
        <v>22</v>
      </c>
      <c r="E64" s="7" t="s">
        <v>73</v>
      </c>
      <c r="F64" s="8" t="s">
        <v>75</v>
      </c>
      <c r="G64" s="7"/>
      <c r="H64" s="14"/>
      <c r="I64" s="7"/>
      <c r="J64" s="10"/>
      <c r="K64" s="10"/>
      <c r="L64" s="7"/>
      <c r="M64" s="13"/>
      <c r="N64" s="7"/>
    </row>
    <row r="65" spans="1:14" x14ac:dyDescent="0.45">
      <c r="A65" s="7">
        <v>64</v>
      </c>
      <c r="B65" s="13">
        <v>45841</v>
      </c>
      <c r="C65" s="7" t="s">
        <v>23</v>
      </c>
      <c r="D65" s="8" t="s">
        <v>24</v>
      </c>
      <c r="E65" s="7" t="s">
        <v>73</v>
      </c>
      <c r="F65" s="8" t="s">
        <v>76</v>
      </c>
      <c r="G65" s="7"/>
      <c r="H65" s="14"/>
      <c r="I65" s="7"/>
      <c r="J65" s="10"/>
      <c r="K65" s="10"/>
      <c r="L65" s="7"/>
      <c r="M65" s="13"/>
      <c r="N65" s="7"/>
    </row>
    <row r="66" spans="1:14" x14ac:dyDescent="0.45">
      <c r="A66" s="7">
        <v>65</v>
      </c>
      <c r="B66" s="13">
        <v>45841</v>
      </c>
      <c r="C66" s="7" t="s">
        <v>25</v>
      </c>
      <c r="D66" s="8" t="s">
        <v>26</v>
      </c>
      <c r="E66" s="7" t="s">
        <v>73</v>
      </c>
      <c r="F66" s="8" t="s">
        <v>77</v>
      </c>
      <c r="G66" s="7"/>
      <c r="H66" s="14"/>
      <c r="I66" s="7"/>
      <c r="J66" s="10"/>
      <c r="K66" s="10"/>
      <c r="L66" s="7"/>
      <c r="M66" s="13"/>
      <c r="N66" s="7"/>
    </row>
    <row r="67" spans="1:14" x14ac:dyDescent="0.45">
      <c r="A67" s="7">
        <v>66</v>
      </c>
      <c r="B67" s="13">
        <v>45841</v>
      </c>
      <c r="C67" s="7" t="s">
        <v>27</v>
      </c>
      <c r="D67" s="8" t="s">
        <v>28</v>
      </c>
      <c r="E67" s="7" t="s">
        <v>73</v>
      </c>
      <c r="F67" s="8" t="s">
        <v>75</v>
      </c>
      <c r="G67" s="7"/>
      <c r="H67" s="14"/>
      <c r="I67" s="7"/>
      <c r="J67" s="10"/>
      <c r="K67" s="10"/>
      <c r="L67" s="7"/>
      <c r="M67" s="13"/>
      <c r="N67" s="7"/>
    </row>
    <row r="68" spans="1:14" x14ac:dyDescent="0.45">
      <c r="A68" s="7">
        <v>67</v>
      </c>
      <c r="B68" s="13">
        <v>45841</v>
      </c>
      <c r="C68" s="7" t="s">
        <v>29</v>
      </c>
      <c r="D68" s="8" t="s">
        <v>30</v>
      </c>
      <c r="E68" s="7" t="s">
        <v>73</v>
      </c>
      <c r="F68" s="8" t="s">
        <v>74</v>
      </c>
      <c r="G68" s="7"/>
      <c r="H68" s="14"/>
      <c r="I68" s="7"/>
      <c r="J68" s="10"/>
      <c r="K68" s="10"/>
      <c r="L68" s="7"/>
      <c r="M68" s="13"/>
      <c r="N68" s="7"/>
    </row>
    <row r="69" spans="1:14" x14ac:dyDescent="0.45">
      <c r="A69" s="7">
        <v>68</v>
      </c>
      <c r="B69" s="13">
        <v>45841</v>
      </c>
      <c r="C69" s="7" t="s">
        <v>32</v>
      </c>
      <c r="D69" s="8" t="s">
        <v>33</v>
      </c>
      <c r="E69" s="7" t="s">
        <v>73</v>
      </c>
      <c r="F69" s="8" t="s">
        <v>78</v>
      </c>
      <c r="G69" s="7"/>
      <c r="H69" s="14"/>
      <c r="I69" s="7"/>
      <c r="J69" s="10"/>
      <c r="K69" s="10"/>
      <c r="L69" s="7"/>
      <c r="M69" s="13"/>
      <c r="N69" s="7"/>
    </row>
    <row r="70" spans="1:14" x14ac:dyDescent="0.45">
      <c r="A70" s="7">
        <v>69</v>
      </c>
      <c r="B70" s="13">
        <v>45841</v>
      </c>
      <c r="C70" s="7" t="s">
        <v>35</v>
      </c>
      <c r="D70" s="8" t="s">
        <v>36</v>
      </c>
      <c r="E70" s="7" t="s">
        <v>73</v>
      </c>
      <c r="F70" s="8" t="s">
        <v>79</v>
      </c>
      <c r="G70" s="7"/>
      <c r="H70" s="14"/>
      <c r="I70" s="7"/>
      <c r="J70" s="10"/>
      <c r="K70" s="10"/>
      <c r="L70" s="7"/>
      <c r="M70" s="13"/>
      <c r="N70" s="7"/>
    </row>
    <row r="71" spans="1:14" x14ac:dyDescent="0.45">
      <c r="A71" s="7">
        <v>70</v>
      </c>
      <c r="B71" s="13">
        <v>45841</v>
      </c>
      <c r="C71" s="7" t="s">
        <v>39</v>
      </c>
      <c r="D71" s="8" t="s">
        <v>40</v>
      </c>
      <c r="E71" s="7" t="s">
        <v>73</v>
      </c>
      <c r="F71" s="8" t="s">
        <v>79</v>
      </c>
      <c r="G71" s="7"/>
      <c r="H71" s="14"/>
      <c r="I71" s="7"/>
      <c r="J71" s="10"/>
      <c r="K71" s="10"/>
      <c r="L71" s="7"/>
      <c r="M71" s="13"/>
      <c r="N71" s="7"/>
    </row>
    <row r="72" spans="1:14" x14ac:dyDescent="0.45">
      <c r="A72" s="7">
        <v>71</v>
      </c>
      <c r="B72" s="13">
        <v>45841</v>
      </c>
      <c r="C72" s="7" t="s">
        <v>42</v>
      </c>
      <c r="D72" s="8" t="s">
        <v>43</v>
      </c>
      <c r="E72" s="7" t="s">
        <v>73</v>
      </c>
      <c r="F72" s="8" t="s">
        <v>79</v>
      </c>
      <c r="G72" s="7"/>
      <c r="H72" s="14"/>
      <c r="I72" s="7"/>
      <c r="J72" s="10"/>
      <c r="K72" s="10"/>
      <c r="L72" s="7"/>
      <c r="M72" s="13"/>
      <c r="N72" s="7"/>
    </row>
    <row r="73" spans="1:14" x14ac:dyDescent="0.45">
      <c r="A73" s="7">
        <v>72</v>
      </c>
      <c r="B73" s="13">
        <v>45872</v>
      </c>
      <c r="C73" s="7" t="s">
        <v>17</v>
      </c>
      <c r="D73" s="8" t="s">
        <v>18</v>
      </c>
      <c r="E73" s="7" t="s">
        <v>73</v>
      </c>
      <c r="F73" s="8" t="s">
        <v>74</v>
      </c>
      <c r="G73" s="7"/>
      <c r="H73" s="14"/>
      <c r="I73" s="7"/>
      <c r="J73" s="10"/>
      <c r="K73" s="10"/>
      <c r="L73" s="7"/>
      <c r="M73" s="13"/>
      <c r="N73" s="7"/>
    </row>
    <row r="74" spans="1:14" x14ac:dyDescent="0.45">
      <c r="A74" s="7">
        <v>73</v>
      </c>
      <c r="B74" s="13">
        <v>45872</v>
      </c>
      <c r="C74" s="7" t="s">
        <v>21</v>
      </c>
      <c r="D74" s="8" t="s">
        <v>22</v>
      </c>
      <c r="E74" s="7" t="s">
        <v>73</v>
      </c>
      <c r="F74" s="8" t="s">
        <v>75</v>
      </c>
      <c r="G74" s="7"/>
      <c r="H74" s="14"/>
      <c r="I74" s="7"/>
      <c r="J74" s="10"/>
      <c r="K74" s="10"/>
      <c r="L74" s="7"/>
      <c r="M74" s="13"/>
      <c r="N74" s="7"/>
    </row>
    <row r="75" spans="1:14" x14ac:dyDescent="0.45">
      <c r="A75" s="7">
        <v>74</v>
      </c>
      <c r="B75" s="13">
        <v>45872</v>
      </c>
      <c r="C75" s="7" t="s">
        <v>23</v>
      </c>
      <c r="D75" s="8" t="s">
        <v>24</v>
      </c>
      <c r="E75" s="7" t="s">
        <v>73</v>
      </c>
      <c r="F75" s="8" t="s">
        <v>76</v>
      </c>
      <c r="G75" s="7"/>
      <c r="H75" s="14"/>
      <c r="I75" s="7"/>
      <c r="J75" s="10"/>
      <c r="K75" s="10"/>
      <c r="L75" s="7"/>
      <c r="M75" s="13"/>
      <c r="N75" s="7"/>
    </row>
    <row r="76" spans="1:14" x14ac:dyDescent="0.45">
      <c r="A76" s="7">
        <v>75</v>
      </c>
      <c r="B76" s="13">
        <v>45872</v>
      </c>
      <c r="C76" s="7" t="s">
        <v>25</v>
      </c>
      <c r="D76" s="8" t="s">
        <v>26</v>
      </c>
      <c r="E76" s="7" t="s">
        <v>73</v>
      </c>
      <c r="F76" s="8" t="s">
        <v>77</v>
      </c>
      <c r="G76" s="7"/>
      <c r="H76" s="14"/>
      <c r="I76" s="7"/>
      <c r="J76" s="10"/>
      <c r="K76" s="10"/>
      <c r="L76" s="7"/>
      <c r="M76" s="13"/>
      <c r="N76" s="7"/>
    </row>
    <row r="77" spans="1:14" x14ac:dyDescent="0.45">
      <c r="A77" s="7">
        <v>76</v>
      </c>
      <c r="B77" s="13">
        <v>45872</v>
      </c>
      <c r="C77" s="7" t="s">
        <v>27</v>
      </c>
      <c r="D77" s="8" t="s">
        <v>28</v>
      </c>
      <c r="E77" s="7" t="s">
        <v>73</v>
      </c>
      <c r="F77" s="8" t="s">
        <v>75</v>
      </c>
      <c r="G77" s="7"/>
      <c r="H77" s="14"/>
      <c r="I77" s="7"/>
      <c r="J77" s="10"/>
      <c r="K77" s="10"/>
      <c r="L77" s="7"/>
      <c r="M77" s="13"/>
      <c r="N77" s="7"/>
    </row>
    <row r="78" spans="1:14" x14ac:dyDescent="0.45">
      <c r="A78" s="7">
        <v>77</v>
      </c>
      <c r="B78" s="13">
        <v>45872</v>
      </c>
      <c r="C78" s="7" t="s">
        <v>29</v>
      </c>
      <c r="D78" s="8" t="s">
        <v>30</v>
      </c>
      <c r="E78" s="7" t="s">
        <v>73</v>
      </c>
      <c r="F78" s="8" t="s">
        <v>74</v>
      </c>
      <c r="G78" s="7"/>
      <c r="H78" s="14"/>
      <c r="I78" s="7"/>
      <c r="J78" s="10"/>
      <c r="K78" s="10"/>
      <c r="L78" s="7"/>
      <c r="M78" s="13"/>
      <c r="N78" s="7"/>
    </row>
    <row r="79" spans="1:14" x14ac:dyDescent="0.45">
      <c r="A79" s="7">
        <v>78</v>
      </c>
      <c r="B79" s="13">
        <v>45872</v>
      </c>
      <c r="C79" s="7" t="s">
        <v>32</v>
      </c>
      <c r="D79" s="8" t="s">
        <v>33</v>
      </c>
      <c r="E79" s="7" t="s">
        <v>73</v>
      </c>
      <c r="F79" s="8" t="s">
        <v>78</v>
      </c>
      <c r="G79" s="7"/>
      <c r="H79" s="14"/>
      <c r="I79" s="7"/>
      <c r="J79" s="10"/>
      <c r="K79" s="10"/>
      <c r="L79" s="7"/>
      <c r="M79" s="13"/>
      <c r="N79" s="7"/>
    </row>
    <row r="80" spans="1:14" x14ac:dyDescent="0.45">
      <c r="A80" s="7">
        <v>79</v>
      </c>
      <c r="B80" s="13">
        <v>45872</v>
      </c>
      <c r="C80" s="7" t="s">
        <v>35</v>
      </c>
      <c r="D80" s="8" t="s">
        <v>36</v>
      </c>
      <c r="E80" s="7" t="s">
        <v>73</v>
      </c>
      <c r="F80" s="8" t="s">
        <v>79</v>
      </c>
      <c r="G80" s="7"/>
      <c r="H80" s="14"/>
      <c r="I80" s="7"/>
      <c r="J80" s="10"/>
      <c r="K80" s="10"/>
      <c r="L80" s="7"/>
      <c r="M80" s="13"/>
      <c r="N80" s="7"/>
    </row>
    <row r="81" spans="1:14" x14ac:dyDescent="0.45">
      <c r="A81" s="7">
        <v>80</v>
      </c>
      <c r="B81" s="13">
        <v>45872</v>
      </c>
      <c r="C81" s="7" t="s">
        <v>39</v>
      </c>
      <c r="D81" s="8" t="s">
        <v>40</v>
      </c>
      <c r="E81" s="7" t="s">
        <v>73</v>
      </c>
      <c r="F81" s="8" t="s">
        <v>79</v>
      </c>
      <c r="G81" s="7"/>
      <c r="H81" s="14"/>
      <c r="I81" s="7"/>
      <c r="J81" s="10"/>
      <c r="K81" s="10"/>
      <c r="L81" s="7"/>
      <c r="M81" s="13"/>
      <c r="N81" s="7"/>
    </row>
    <row r="82" spans="1:14" x14ac:dyDescent="0.45">
      <c r="A82" s="7">
        <v>81</v>
      </c>
      <c r="B82" s="13">
        <v>45872</v>
      </c>
      <c r="C82" s="7" t="s">
        <v>42</v>
      </c>
      <c r="D82" s="8" t="s">
        <v>43</v>
      </c>
      <c r="E82" s="7" t="s">
        <v>73</v>
      </c>
      <c r="F82" s="8" t="s">
        <v>79</v>
      </c>
      <c r="G82" s="7"/>
      <c r="H82" s="14"/>
      <c r="I82" s="7"/>
      <c r="J82" s="10"/>
      <c r="K82" s="10"/>
      <c r="L82" s="7"/>
      <c r="M82" s="13"/>
      <c r="N82" s="7"/>
    </row>
    <row r="83" spans="1:14" x14ac:dyDescent="0.45">
      <c r="A83" s="7">
        <v>82</v>
      </c>
      <c r="B83" s="13">
        <v>45887</v>
      </c>
      <c r="C83" s="7" t="s">
        <v>17</v>
      </c>
      <c r="D83" s="8" t="s">
        <v>18</v>
      </c>
      <c r="E83" s="16"/>
      <c r="F83" s="17"/>
      <c r="G83" s="7"/>
      <c r="H83" s="14"/>
      <c r="I83" s="7"/>
      <c r="J83" s="15"/>
      <c r="K83" s="10"/>
      <c r="L83" s="7"/>
      <c r="M83" s="13"/>
      <c r="N83" s="7"/>
    </row>
    <row r="84" spans="1:14" x14ac:dyDescent="0.45">
      <c r="A84" s="7">
        <v>83</v>
      </c>
      <c r="B84" s="13">
        <v>45887</v>
      </c>
      <c r="C84" s="7" t="s">
        <v>21</v>
      </c>
      <c r="D84" s="8" t="s">
        <v>22</v>
      </c>
      <c r="E84" s="16"/>
      <c r="F84" s="17"/>
      <c r="G84" s="7"/>
      <c r="H84" s="14"/>
      <c r="I84" s="7"/>
      <c r="J84" s="15"/>
      <c r="K84" s="10"/>
      <c r="L84" s="7"/>
      <c r="M84" s="13"/>
      <c r="N84" s="7"/>
    </row>
    <row r="85" spans="1:14" x14ac:dyDescent="0.45">
      <c r="A85" s="7">
        <v>84</v>
      </c>
      <c r="B85" s="13">
        <v>45887</v>
      </c>
      <c r="C85" s="7" t="s">
        <v>23</v>
      </c>
      <c r="D85" s="8" t="s">
        <v>24</v>
      </c>
      <c r="E85" s="16"/>
      <c r="F85" s="17"/>
      <c r="G85" s="7"/>
      <c r="H85" s="14"/>
      <c r="I85" s="7"/>
      <c r="J85" s="15"/>
      <c r="K85" s="10"/>
      <c r="L85" s="7"/>
      <c r="M85" s="13"/>
      <c r="N85" s="7"/>
    </row>
    <row r="86" spans="1:14" x14ac:dyDescent="0.45">
      <c r="A86" s="7">
        <v>85</v>
      </c>
      <c r="B86" s="13">
        <v>45887</v>
      </c>
      <c r="C86" s="7" t="s">
        <v>25</v>
      </c>
      <c r="D86" s="8" t="s">
        <v>26</v>
      </c>
      <c r="E86" s="16"/>
      <c r="F86" s="17"/>
      <c r="G86" s="7"/>
      <c r="H86" s="14"/>
      <c r="I86" s="7"/>
      <c r="J86" s="15"/>
      <c r="K86" s="10"/>
      <c r="L86" s="7"/>
      <c r="M86" s="13"/>
      <c r="N86" s="7"/>
    </row>
    <row r="87" spans="1:14" x14ac:dyDescent="0.45">
      <c r="A87" s="7">
        <v>86</v>
      </c>
      <c r="B87" s="13">
        <v>45887</v>
      </c>
      <c r="C87" s="7" t="s">
        <v>27</v>
      </c>
      <c r="D87" s="8" t="s">
        <v>28</v>
      </c>
      <c r="E87" s="16"/>
      <c r="F87" s="17"/>
      <c r="G87" s="7"/>
      <c r="H87" s="14"/>
      <c r="I87" s="7"/>
      <c r="J87" s="15"/>
      <c r="K87" s="10"/>
      <c r="L87" s="7"/>
      <c r="M87" s="13"/>
      <c r="N87" s="7"/>
    </row>
    <row r="88" spans="1:14" x14ac:dyDescent="0.45">
      <c r="A88" s="7">
        <v>87</v>
      </c>
      <c r="B88" s="13">
        <v>45887</v>
      </c>
      <c r="C88" s="7" t="s">
        <v>29</v>
      </c>
      <c r="D88" s="8" t="s">
        <v>30</v>
      </c>
      <c r="E88" s="16"/>
      <c r="F88" s="17"/>
      <c r="G88" s="7"/>
      <c r="H88" s="14"/>
      <c r="I88" s="7"/>
      <c r="J88" s="15"/>
      <c r="K88" s="10"/>
      <c r="L88" s="7"/>
      <c r="M88" s="13"/>
      <c r="N88" s="7"/>
    </row>
    <row r="89" spans="1:14" x14ac:dyDescent="0.45">
      <c r="A89" s="7">
        <v>88</v>
      </c>
      <c r="B89" s="13">
        <v>45887</v>
      </c>
      <c r="C89" s="7" t="s">
        <v>32</v>
      </c>
      <c r="D89" s="8" t="s">
        <v>33</v>
      </c>
      <c r="E89" s="16"/>
      <c r="F89" s="17"/>
      <c r="G89" s="7"/>
      <c r="H89" s="14"/>
      <c r="I89" s="7"/>
      <c r="J89" s="15"/>
      <c r="K89" s="10"/>
      <c r="L89" s="7"/>
      <c r="M89" s="13"/>
      <c r="N89" s="7"/>
    </row>
    <row r="90" spans="1:14" x14ac:dyDescent="0.45">
      <c r="A90" s="7">
        <v>89</v>
      </c>
      <c r="B90" s="13">
        <v>45887</v>
      </c>
      <c r="C90" s="7" t="s">
        <v>35</v>
      </c>
      <c r="D90" s="8" t="s">
        <v>36</v>
      </c>
      <c r="E90" s="16"/>
      <c r="F90" s="17"/>
      <c r="G90" s="7"/>
      <c r="H90" s="14"/>
      <c r="I90" s="7"/>
      <c r="J90" s="15"/>
      <c r="K90" s="10"/>
      <c r="L90" s="7"/>
      <c r="M90" s="13"/>
      <c r="N90" s="7"/>
    </row>
    <row r="91" spans="1:14" x14ac:dyDescent="0.45">
      <c r="A91" s="7">
        <v>90</v>
      </c>
      <c r="B91" s="13">
        <v>45887</v>
      </c>
      <c r="C91" s="7" t="s">
        <v>42</v>
      </c>
      <c r="D91" s="8" t="s">
        <v>43</v>
      </c>
      <c r="E91" s="16"/>
      <c r="F91" s="17"/>
      <c r="G91" s="7"/>
      <c r="H91" s="14"/>
      <c r="I91" s="7"/>
      <c r="J91" s="15"/>
      <c r="K91" s="10"/>
      <c r="L91" s="7"/>
      <c r="M91" s="13"/>
      <c r="N91" s="7"/>
    </row>
    <row r="92" spans="1:14" x14ac:dyDescent="0.45">
      <c r="A92" s="7">
        <v>91</v>
      </c>
      <c r="B92" s="13">
        <v>45903</v>
      </c>
      <c r="C92" s="7" t="s">
        <v>17</v>
      </c>
      <c r="D92" s="8" t="s">
        <v>18</v>
      </c>
      <c r="E92" s="7" t="s">
        <v>73</v>
      </c>
      <c r="F92" s="8" t="s">
        <v>74</v>
      </c>
      <c r="G92" s="7"/>
      <c r="H92" s="14"/>
      <c r="I92" s="7"/>
      <c r="J92" s="10"/>
      <c r="K92" s="10"/>
      <c r="L92" s="7"/>
      <c r="M92" s="13"/>
      <c r="N92" s="7"/>
    </row>
    <row r="93" spans="1:14" x14ac:dyDescent="0.45">
      <c r="A93" s="7">
        <v>92</v>
      </c>
      <c r="B93" s="13">
        <v>45903</v>
      </c>
      <c r="C93" s="7" t="s">
        <v>21</v>
      </c>
      <c r="D93" s="8" t="s">
        <v>22</v>
      </c>
      <c r="E93" s="7" t="s">
        <v>73</v>
      </c>
      <c r="F93" s="8" t="s">
        <v>75</v>
      </c>
      <c r="G93" s="7"/>
      <c r="H93" s="14"/>
      <c r="I93" s="7"/>
      <c r="J93" s="10"/>
      <c r="K93" s="10"/>
      <c r="L93" s="7"/>
      <c r="M93" s="13"/>
      <c r="N93" s="7"/>
    </row>
    <row r="94" spans="1:14" x14ac:dyDescent="0.45">
      <c r="A94" s="7">
        <v>93</v>
      </c>
      <c r="B94" s="13">
        <v>45903</v>
      </c>
      <c r="C94" s="7" t="s">
        <v>23</v>
      </c>
      <c r="D94" s="8" t="s">
        <v>24</v>
      </c>
      <c r="E94" s="7" t="s">
        <v>73</v>
      </c>
      <c r="F94" s="8" t="s">
        <v>76</v>
      </c>
      <c r="G94" s="7"/>
      <c r="H94" s="14"/>
      <c r="I94" s="7"/>
      <c r="J94" s="10"/>
      <c r="K94" s="10"/>
      <c r="L94" s="7"/>
      <c r="M94" s="13"/>
      <c r="N94" s="7"/>
    </row>
    <row r="95" spans="1:14" x14ac:dyDescent="0.45">
      <c r="A95" s="7">
        <v>94</v>
      </c>
      <c r="B95" s="13">
        <v>45903</v>
      </c>
      <c r="C95" s="7" t="s">
        <v>25</v>
      </c>
      <c r="D95" s="8" t="s">
        <v>26</v>
      </c>
      <c r="E95" s="7" t="s">
        <v>73</v>
      </c>
      <c r="F95" s="8" t="s">
        <v>77</v>
      </c>
      <c r="G95" s="7"/>
      <c r="H95" s="14"/>
      <c r="I95" s="7"/>
      <c r="J95" s="10"/>
      <c r="K95" s="10"/>
      <c r="L95" s="7"/>
      <c r="M95" s="13"/>
      <c r="N95" s="7"/>
    </row>
    <row r="96" spans="1:14" x14ac:dyDescent="0.45">
      <c r="A96" s="7">
        <v>95</v>
      </c>
      <c r="B96" s="13">
        <v>45903</v>
      </c>
      <c r="C96" s="7" t="s">
        <v>27</v>
      </c>
      <c r="D96" s="8" t="s">
        <v>28</v>
      </c>
      <c r="E96" s="7" t="s">
        <v>73</v>
      </c>
      <c r="F96" s="8" t="s">
        <v>75</v>
      </c>
      <c r="G96" s="7"/>
      <c r="H96" s="14"/>
      <c r="I96" s="7"/>
      <c r="J96" s="10"/>
      <c r="K96" s="10"/>
      <c r="L96" s="7"/>
      <c r="M96" s="13"/>
      <c r="N96" s="7"/>
    </row>
    <row r="97" spans="1:14" x14ac:dyDescent="0.45">
      <c r="A97" s="7">
        <v>96</v>
      </c>
      <c r="B97" s="13">
        <v>45903</v>
      </c>
      <c r="C97" s="7" t="s">
        <v>29</v>
      </c>
      <c r="D97" s="8" t="s">
        <v>30</v>
      </c>
      <c r="E97" s="7" t="s">
        <v>73</v>
      </c>
      <c r="F97" s="8" t="s">
        <v>74</v>
      </c>
      <c r="G97" s="7"/>
      <c r="H97" s="14"/>
      <c r="I97" s="7"/>
      <c r="J97" s="10"/>
      <c r="K97" s="10"/>
      <c r="L97" s="7"/>
      <c r="M97" s="13"/>
      <c r="N97" s="7"/>
    </row>
    <row r="98" spans="1:14" x14ac:dyDescent="0.45">
      <c r="A98" s="7">
        <v>97</v>
      </c>
      <c r="B98" s="13">
        <v>45903</v>
      </c>
      <c r="C98" s="7" t="s">
        <v>32</v>
      </c>
      <c r="D98" s="8" t="s">
        <v>33</v>
      </c>
      <c r="E98" s="7" t="s">
        <v>73</v>
      </c>
      <c r="F98" s="8" t="s">
        <v>78</v>
      </c>
      <c r="G98" s="7"/>
      <c r="H98" s="14"/>
      <c r="I98" s="7"/>
      <c r="J98" s="10"/>
      <c r="K98" s="10"/>
      <c r="L98" s="7"/>
      <c r="M98" s="13"/>
      <c r="N98" s="7"/>
    </row>
    <row r="99" spans="1:14" x14ac:dyDescent="0.45">
      <c r="A99" s="7">
        <v>98</v>
      </c>
      <c r="B99" s="13">
        <v>45903</v>
      </c>
      <c r="C99" s="7" t="s">
        <v>35</v>
      </c>
      <c r="D99" s="8" t="s">
        <v>36</v>
      </c>
      <c r="E99" s="7" t="s">
        <v>73</v>
      </c>
      <c r="F99" s="8" t="s">
        <v>79</v>
      </c>
      <c r="G99" s="7"/>
      <c r="H99" s="14"/>
      <c r="I99" s="7"/>
      <c r="J99" s="10"/>
      <c r="K99" s="10"/>
      <c r="L99" s="7"/>
      <c r="M99" s="13"/>
      <c r="N99" s="7"/>
    </row>
    <row r="100" spans="1:14" x14ac:dyDescent="0.45">
      <c r="A100" s="7">
        <v>99</v>
      </c>
      <c r="B100" s="13">
        <v>45903</v>
      </c>
      <c r="C100" s="7" t="s">
        <v>39</v>
      </c>
      <c r="D100" s="8" t="s">
        <v>40</v>
      </c>
      <c r="E100" s="7" t="s">
        <v>73</v>
      </c>
      <c r="F100" s="8" t="s">
        <v>79</v>
      </c>
      <c r="G100" s="7"/>
      <c r="H100" s="14"/>
      <c r="I100" s="7"/>
      <c r="J100" s="10"/>
      <c r="K100" s="10"/>
      <c r="L100" s="7"/>
      <c r="M100" s="13"/>
      <c r="N100" s="7"/>
    </row>
    <row r="101" spans="1:14" x14ac:dyDescent="0.45">
      <c r="A101" s="7">
        <v>100</v>
      </c>
      <c r="B101" s="13">
        <v>45903</v>
      </c>
      <c r="C101" s="7" t="s">
        <v>42</v>
      </c>
      <c r="D101" s="8" t="s">
        <v>43</v>
      </c>
      <c r="E101" s="7" t="s">
        <v>73</v>
      </c>
      <c r="F101" s="8" t="s">
        <v>79</v>
      </c>
      <c r="G101" s="7"/>
      <c r="H101" s="14"/>
      <c r="I101" s="7"/>
      <c r="J101" s="10"/>
      <c r="K101" s="10"/>
      <c r="L101" s="7"/>
      <c r="M101" s="13"/>
      <c r="N101" s="7"/>
    </row>
    <row r="102" spans="1:14" x14ac:dyDescent="0.45">
      <c r="A102" s="7">
        <v>101</v>
      </c>
      <c r="B102" s="13">
        <v>45933</v>
      </c>
      <c r="C102" s="7" t="s">
        <v>17</v>
      </c>
      <c r="D102" s="8" t="s">
        <v>18</v>
      </c>
      <c r="E102" s="7" t="s">
        <v>73</v>
      </c>
      <c r="F102" s="8" t="s">
        <v>74</v>
      </c>
      <c r="G102" s="7"/>
      <c r="H102" s="14"/>
      <c r="I102" s="7"/>
      <c r="J102" s="10"/>
      <c r="K102" s="10"/>
      <c r="L102" s="7"/>
      <c r="M102" s="13"/>
      <c r="N102" s="7"/>
    </row>
    <row r="103" spans="1:14" x14ac:dyDescent="0.45">
      <c r="A103" s="7">
        <v>102</v>
      </c>
      <c r="B103" s="13">
        <v>45933</v>
      </c>
      <c r="C103" s="7" t="s">
        <v>21</v>
      </c>
      <c r="D103" s="8" t="s">
        <v>22</v>
      </c>
      <c r="E103" s="7" t="s">
        <v>73</v>
      </c>
      <c r="F103" s="8" t="s">
        <v>75</v>
      </c>
      <c r="G103" s="7"/>
      <c r="H103" s="14"/>
      <c r="I103" s="7"/>
      <c r="J103" s="10"/>
      <c r="K103" s="10"/>
      <c r="L103" s="7"/>
      <c r="M103" s="13"/>
      <c r="N103" s="7"/>
    </row>
    <row r="104" spans="1:14" x14ac:dyDescent="0.45">
      <c r="A104" s="7">
        <v>103</v>
      </c>
      <c r="B104" s="13">
        <v>45933</v>
      </c>
      <c r="C104" s="7" t="s">
        <v>23</v>
      </c>
      <c r="D104" s="8" t="s">
        <v>24</v>
      </c>
      <c r="E104" s="7" t="s">
        <v>73</v>
      </c>
      <c r="F104" s="8" t="s">
        <v>76</v>
      </c>
      <c r="G104" s="7"/>
      <c r="H104" s="14"/>
      <c r="I104" s="7"/>
      <c r="J104" s="10"/>
      <c r="K104" s="10"/>
      <c r="L104" s="7"/>
      <c r="M104" s="13"/>
      <c r="N104" s="7"/>
    </row>
    <row r="105" spans="1:14" x14ac:dyDescent="0.45">
      <c r="A105" s="7">
        <v>104</v>
      </c>
      <c r="B105" s="13">
        <v>45933</v>
      </c>
      <c r="C105" s="7" t="s">
        <v>25</v>
      </c>
      <c r="D105" s="8" t="s">
        <v>26</v>
      </c>
      <c r="E105" s="7" t="s">
        <v>73</v>
      </c>
      <c r="F105" s="8" t="s">
        <v>77</v>
      </c>
      <c r="G105" s="7"/>
      <c r="H105" s="14"/>
      <c r="I105" s="7"/>
      <c r="J105" s="10"/>
      <c r="K105" s="10"/>
      <c r="L105" s="7"/>
      <c r="M105" s="13"/>
      <c r="N105" s="7"/>
    </row>
    <row r="106" spans="1:14" x14ac:dyDescent="0.45">
      <c r="A106" s="7">
        <v>105</v>
      </c>
      <c r="B106" s="13">
        <v>45933</v>
      </c>
      <c r="C106" s="7" t="s">
        <v>27</v>
      </c>
      <c r="D106" s="8" t="s">
        <v>28</v>
      </c>
      <c r="E106" s="7" t="s">
        <v>73</v>
      </c>
      <c r="F106" s="8" t="s">
        <v>75</v>
      </c>
      <c r="G106" s="7"/>
      <c r="H106" s="14"/>
      <c r="I106" s="7"/>
      <c r="J106" s="10"/>
      <c r="K106" s="10"/>
      <c r="L106" s="7"/>
      <c r="M106" s="13"/>
      <c r="N106" s="7"/>
    </row>
    <row r="107" spans="1:14" x14ac:dyDescent="0.45">
      <c r="A107" s="7">
        <v>106</v>
      </c>
      <c r="B107" s="13">
        <v>45933</v>
      </c>
      <c r="C107" s="7" t="s">
        <v>29</v>
      </c>
      <c r="D107" s="8" t="s">
        <v>30</v>
      </c>
      <c r="E107" s="7" t="s">
        <v>73</v>
      </c>
      <c r="F107" s="8" t="s">
        <v>74</v>
      </c>
      <c r="G107" s="7"/>
      <c r="H107" s="14"/>
      <c r="I107" s="7"/>
      <c r="J107" s="10"/>
      <c r="K107" s="10"/>
      <c r="L107" s="7"/>
      <c r="M107" s="13"/>
      <c r="N107" s="7"/>
    </row>
    <row r="108" spans="1:14" x14ac:dyDescent="0.45">
      <c r="A108" s="7">
        <v>107</v>
      </c>
      <c r="B108" s="13">
        <v>45933</v>
      </c>
      <c r="C108" s="7" t="s">
        <v>32</v>
      </c>
      <c r="D108" s="8" t="s">
        <v>33</v>
      </c>
      <c r="E108" s="7" t="s">
        <v>73</v>
      </c>
      <c r="F108" s="8" t="s">
        <v>78</v>
      </c>
      <c r="G108" s="7"/>
      <c r="H108" s="14"/>
      <c r="I108" s="7"/>
      <c r="J108" s="10"/>
      <c r="K108" s="10"/>
      <c r="L108" s="7"/>
      <c r="M108" s="13"/>
      <c r="N108" s="7"/>
    </row>
    <row r="109" spans="1:14" x14ac:dyDescent="0.45">
      <c r="A109" s="7">
        <v>108</v>
      </c>
      <c r="B109" s="13">
        <v>45933</v>
      </c>
      <c r="C109" s="7" t="s">
        <v>35</v>
      </c>
      <c r="D109" s="8" t="s">
        <v>36</v>
      </c>
      <c r="E109" s="7" t="s">
        <v>73</v>
      </c>
      <c r="F109" s="8" t="s">
        <v>79</v>
      </c>
      <c r="G109" s="7"/>
      <c r="H109" s="14"/>
      <c r="I109" s="7"/>
      <c r="J109" s="10"/>
      <c r="K109" s="10"/>
      <c r="L109" s="7"/>
      <c r="M109" s="13"/>
      <c r="N109" s="7"/>
    </row>
    <row r="110" spans="1:14" x14ac:dyDescent="0.45">
      <c r="A110" s="7">
        <v>109</v>
      </c>
      <c r="B110" s="13">
        <v>45933</v>
      </c>
      <c r="C110" s="7" t="s">
        <v>39</v>
      </c>
      <c r="D110" s="8" t="s">
        <v>40</v>
      </c>
      <c r="E110" s="7" t="s">
        <v>73</v>
      </c>
      <c r="F110" s="8" t="s">
        <v>79</v>
      </c>
      <c r="G110" s="7"/>
      <c r="H110" s="14"/>
      <c r="I110" s="7"/>
      <c r="J110" s="10"/>
      <c r="K110" s="10"/>
      <c r="L110" s="7"/>
      <c r="M110" s="13"/>
      <c r="N110" s="7"/>
    </row>
    <row r="111" spans="1:14" x14ac:dyDescent="0.45">
      <c r="A111" s="7">
        <v>110</v>
      </c>
      <c r="B111" s="13">
        <v>45933</v>
      </c>
      <c r="C111" s="7" t="s">
        <v>42</v>
      </c>
      <c r="D111" s="8" t="s">
        <v>43</v>
      </c>
      <c r="E111" s="7" t="s">
        <v>73</v>
      </c>
      <c r="F111" s="8" t="s">
        <v>79</v>
      </c>
      <c r="G111" s="7"/>
      <c r="H111" s="14"/>
      <c r="I111" s="7"/>
      <c r="J111" s="10"/>
      <c r="K111" s="10"/>
      <c r="L111" s="7"/>
      <c r="M111" s="13"/>
      <c r="N111" s="7"/>
    </row>
    <row r="112" spans="1:14" x14ac:dyDescent="0.45">
      <c r="A112" s="7">
        <v>111</v>
      </c>
      <c r="B112" s="13">
        <v>45964</v>
      </c>
      <c r="C112" s="7" t="s">
        <v>17</v>
      </c>
      <c r="D112" s="8" t="s">
        <v>18</v>
      </c>
      <c r="E112" s="7" t="s">
        <v>73</v>
      </c>
      <c r="F112" s="8" t="s">
        <v>74</v>
      </c>
      <c r="G112" s="7"/>
      <c r="H112" s="14"/>
      <c r="I112" s="7"/>
      <c r="J112" s="10"/>
      <c r="K112" s="10"/>
      <c r="L112" s="7"/>
      <c r="M112" s="13"/>
      <c r="N112" s="7"/>
    </row>
    <row r="113" spans="1:14" x14ac:dyDescent="0.45">
      <c r="A113" s="7">
        <v>112</v>
      </c>
      <c r="B113" s="13">
        <v>45964</v>
      </c>
      <c r="C113" s="7" t="s">
        <v>21</v>
      </c>
      <c r="D113" s="8" t="s">
        <v>22</v>
      </c>
      <c r="E113" s="7" t="s">
        <v>73</v>
      </c>
      <c r="F113" s="8" t="s">
        <v>75</v>
      </c>
      <c r="G113" s="7"/>
      <c r="H113" s="14"/>
      <c r="I113" s="7"/>
      <c r="J113" s="10"/>
      <c r="K113" s="10"/>
      <c r="L113" s="7"/>
      <c r="M113" s="13"/>
      <c r="N113" s="7"/>
    </row>
    <row r="114" spans="1:14" x14ac:dyDescent="0.45">
      <c r="A114" s="7">
        <v>113</v>
      </c>
      <c r="B114" s="13">
        <v>45964</v>
      </c>
      <c r="C114" s="7" t="s">
        <v>23</v>
      </c>
      <c r="D114" s="8" t="s">
        <v>24</v>
      </c>
      <c r="E114" s="7" t="s">
        <v>73</v>
      </c>
      <c r="F114" s="8" t="s">
        <v>76</v>
      </c>
      <c r="G114" s="7"/>
      <c r="H114" s="14"/>
      <c r="I114" s="7"/>
      <c r="J114" s="10"/>
      <c r="K114" s="10"/>
      <c r="L114" s="7"/>
      <c r="M114" s="13"/>
      <c r="N114" s="7"/>
    </row>
    <row r="115" spans="1:14" x14ac:dyDescent="0.45">
      <c r="A115" s="7">
        <v>114</v>
      </c>
      <c r="B115" s="13">
        <v>45964</v>
      </c>
      <c r="C115" s="7" t="s">
        <v>25</v>
      </c>
      <c r="D115" s="8" t="s">
        <v>26</v>
      </c>
      <c r="E115" s="7" t="s">
        <v>73</v>
      </c>
      <c r="F115" s="8" t="s">
        <v>77</v>
      </c>
      <c r="G115" s="7"/>
      <c r="H115" s="14"/>
      <c r="I115" s="7"/>
      <c r="J115" s="10"/>
      <c r="K115" s="10"/>
      <c r="L115" s="7"/>
      <c r="M115" s="13"/>
      <c r="N115" s="7"/>
    </row>
    <row r="116" spans="1:14" x14ac:dyDescent="0.45">
      <c r="A116" s="7">
        <v>115</v>
      </c>
      <c r="B116" s="13">
        <v>45964</v>
      </c>
      <c r="C116" s="7" t="s">
        <v>27</v>
      </c>
      <c r="D116" s="8" t="s">
        <v>28</v>
      </c>
      <c r="E116" s="7" t="s">
        <v>73</v>
      </c>
      <c r="F116" s="8" t="s">
        <v>75</v>
      </c>
      <c r="G116" s="7"/>
      <c r="H116" s="14"/>
      <c r="I116" s="7"/>
      <c r="J116" s="10"/>
      <c r="K116" s="10"/>
      <c r="L116" s="7"/>
      <c r="M116" s="13"/>
      <c r="N116" s="7"/>
    </row>
    <row r="117" spans="1:14" x14ac:dyDescent="0.45">
      <c r="A117" s="7">
        <v>116</v>
      </c>
      <c r="B117" s="13">
        <v>45964</v>
      </c>
      <c r="C117" s="7" t="s">
        <v>29</v>
      </c>
      <c r="D117" s="8" t="s">
        <v>30</v>
      </c>
      <c r="E117" s="7" t="s">
        <v>73</v>
      </c>
      <c r="F117" s="8" t="s">
        <v>74</v>
      </c>
      <c r="G117" s="7"/>
      <c r="H117" s="14"/>
      <c r="I117" s="7"/>
      <c r="J117" s="10"/>
      <c r="K117" s="10"/>
      <c r="L117" s="7"/>
      <c r="M117" s="13"/>
      <c r="N117" s="7"/>
    </row>
    <row r="118" spans="1:14" x14ac:dyDescent="0.45">
      <c r="A118" s="7">
        <v>117</v>
      </c>
      <c r="B118" s="13">
        <v>45964</v>
      </c>
      <c r="C118" s="7" t="s">
        <v>32</v>
      </c>
      <c r="D118" s="8" t="s">
        <v>33</v>
      </c>
      <c r="E118" s="7" t="s">
        <v>73</v>
      </c>
      <c r="F118" s="8" t="s">
        <v>78</v>
      </c>
      <c r="G118" s="7"/>
      <c r="H118" s="14"/>
      <c r="I118" s="7"/>
      <c r="J118" s="10"/>
      <c r="K118" s="10"/>
      <c r="L118" s="7"/>
      <c r="M118" s="13"/>
      <c r="N118" s="7"/>
    </row>
    <row r="119" spans="1:14" x14ac:dyDescent="0.45">
      <c r="A119" s="7">
        <v>118</v>
      </c>
      <c r="B119" s="13">
        <v>45964</v>
      </c>
      <c r="C119" s="7" t="s">
        <v>35</v>
      </c>
      <c r="D119" s="8" t="s">
        <v>36</v>
      </c>
      <c r="E119" s="7" t="s">
        <v>73</v>
      </c>
      <c r="F119" s="8" t="s">
        <v>79</v>
      </c>
      <c r="G119" s="7"/>
      <c r="H119" s="14"/>
      <c r="I119" s="7"/>
      <c r="J119" s="10"/>
      <c r="K119" s="10"/>
      <c r="L119" s="7"/>
      <c r="M119" s="13"/>
      <c r="N119" s="7"/>
    </row>
    <row r="120" spans="1:14" x14ac:dyDescent="0.45">
      <c r="A120" s="7">
        <v>119</v>
      </c>
      <c r="B120" s="13">
        <v>45964</v>
      </c>
      <c r="C120" s="7" t="s">
        <v>39</v>
      </c>
      <c r="D120" s="8" t="s">
        <v>40</v>
      </c>
      <c r="E120" s="7" t="s">
        <v>73</v>
      </c>
      <c r="F120" s="8" t="s">
        <v>79</v>
      </c>
      <c r="G120" s="7"/>
      <c r="H120" s="14"/>
      <c r="I120" s="7"/>
      <c r="J120" s="10"/>
      <c r="K120" s="10"/>
      <c r="L120" s="7"/>
      <c r="M120" s="13"/>
      <c r="N120" s="7"/>
    </row>
    <row r="121" spans="1:14" x14ac:dyDescent="0.45">
      <c r="A121" s="7">
        <v>120</v>
      </c>
      <c r="B121" s="13">
        <v>45964</v>
      </c>
      <c r="C121" s="7" t="s">
        <v>42</v>
      </c>
      <c r="D121" s="8" t="s">
        <v>43</v>
      </c>
      <c r="E121" s="7" t="s">
        <v>73</v>
      </c>
      <c r="F121" s="8" t="s">
        <v>79</v>
      </c>
      <c r="G121" s="7"/>
      <c r="H121" s="14"/>
      <c r="I121" s="7"/>
      <c r="J121" s="10"/>
      <c r="K121" s="10"/>
      <c r="L121" s="7"/>
      <c r="M121" s="13"/>
      <c r="N121" s="7"/>
    </row>
    <row r="122" spans="1:14" x14ac:dyDescent="0.45">
      <c r="A122" s="7">
        <v>121</v>
      </c>
      <c r="B122" s="13">
        <v>45994</v>
      </c>
      <c r="C122" s="7" t="s">
        <v>17</v>
      </c>
      <c r="D122" s="8" t="s">
        <v>18</v>
      </c>
      <c r="E122" s="7" t="s">
        <v>73</v>
      </c>
      <c r="F122" s="8" t="s">
        <v>74</v>
      </c>
      <c r="G122" s="7"/>
      <c r="H122" s="14"/>
      <c r="I122" s="7"/>
      <c r="J122" s="10"/>
      <c r="K122" s="10"/>
      <c r="L122" s="7"/>
      <c r="M122" s="13"/>
      <c r="N122" s="7"/>
    </row>
    <row r="123" spans="1:14" x14ac:dyDescent="0.45">
      <c r="A123" s="7">
        <v>122</v>
      </c>
      <c r="B123" s="13">
        <v>45994</v>
      </c>
      <c r="C123" s="7" t="s">
        <v>21</v>
      </c>
      <c r="D123" s="8" t="s">
        <v>22</v>
      </c>
      <c r="E123" s="7" t="s">
        <v>73</v>
      </c>
      <c r="F123" s="8" t="s">
        <v>75</v>
      </c>
      <c r="G123" s="7"/>
      <c r="H123" s="14"/>
      <c r="I123" s="7"/>
      <c r="J123" s="10"/>
      <c r="K123" s="10"/>
      <c r="L123" s="7"/>
      <c r="M123" s="13"/>
      <c r="N123" s="7"/>
    </row>
    <row r="124" spans="1:14" x14ac:dyDescent="0.45">
      <c r="A124" s="7">
        <v>123</v>
      </c>
      <c r="B124" s="13">
        <v>45994</v>
      </c>
      <c r="C124" s="7" t="s">
        <v>23</v>
      </c>
      <c r="D124" s="8" t="s">
        <v>24</v>
      </c>
      <c r="E124" s="7" t="s">
        <v>73</v>
      </c>
      <c r="F124" s="8" t="s">
        <v>76</v>
      </c>
      <c r="G124" s="7"/>
      <c r="H124" s="14"/>
      <c r="I124" s="7"/>
      <c r="J124" s="10"/>
      <c r="K124" s="10"/>
      <c r="L124" s="7"/>
      <c r="M124" s="13"/>
      <c r="N124" s="7"/>
    </row>
    <row r="125" spans="1:14" x14ac:dyDescent="0.45">
      <c r="A125" s="7">
        <v>124</v>
      </c>
      <c r="B125" s="13">
        <v>45994</v>
      </c>
      <c r="C125" s="7" t="s">
        <v>25</v>
      </c>
      <c r="D125" s="8" t="s">
        <v>26</v>
      </c>
      <c r="E125" s="7" t="s">
        <v>73</v>
      </c>
      <c r="F125" s="8" t="s">
        <v>77</v>
      </c>
      <c r="G125" s="7"/>
      <c r="H125" s="14"/>
      <c r="I125" s="7"/>
      <c r="J125" s="10"/>
      <c r="K125" s="10"/>
      <c r="L125" s="7"/>
      <c r="M125" s="13"/>
      <c r="N125" s="7"/>
    </row>
    <row r="126" spans="1:14" x14ac:dyDescent="0.45">
      <c r="A126" s="7">
        <v>125</v>
      </c>
      <c r="B126" s="13">
        <v>45994</v>
      </c>
      <c r="C126" s="7" t="s">
        <v>27</v>
      </c>
      <c r="D126" s="8" t="s">
        <v>28</v>
      </c>
      <c r="E126" s="7" t="s">
        <v>73</v>
      </c>
      <c r="F126" s="8" t="s">
        <v>75</v>
      </c>
      <c r="G126" s="7"/>
      <c r="H126" s="14"/>
      <c r="I126" s="7"/>
      <c r="J126" s="10"/>
      <c r="K126" s="10"/>
      <c r="L126" s="7"/>
      <c r="M126" s="13"/>
      <c r="N126" s="7"/>
    </row>
    <row r="127" spans="1:14" x14ac:dyDescent="0.45">
      <c r="A127" s="7">
        <v>126</v>
      </c>
      <c r="B127" s="13">
        <v>45994</v>
      </c>
      <c r="C127" s="7" t="s">
        <v>29</v>
      </c>
      <c r="D127" s="8" t="s">
        <v>30</v>
      </c>
      <c r="E127" s="7" t="s">
        <v>73</v>
      </c>
      <c r="F127" s="8" t="s">
        <v>74</v>
      </c>
      <c r="G127" s="7"/>
      <c r="H127" s="14"/>
      <c r="I127" s="7"/>
      <c r="J127" s="10"/>
      <c r="K127" s="10"/>
      <c r="L127" s="7"/>
      <c r="M127" s="13"/>
      <c r="N127" s="7"/>
    </row>
    <row r="128" spans="1:14" x14ac:dyDescent="0.45">
      <c r="A128" s="7">
        <v>127</v>
      </c>
      <c r="B128" s="13">
        <v>45994</v>
      </c>
      <c r="C128" s="7" t="s">
        <v>32</v>
      </c>
      <c r="D128" s="8" t="s">
        <v>33</v>
      </c>
      <c r="E128" s="7" t="s">
        <v>73</v>
      </c>
      <c r="F128" s="8" t="s">
        <v>78</v>
      </c>
      <c r="G128" s="7"/>
      <c r="H128" s="14"/>
      <c r="I128" s="7"/>
      <c r="J128" s="10"/>
      <c r="K128" s="10"/>
      <c r="L128" s="7"/>
      <c r="M128" s="13"/>
      <c r="N128" s="7"/>
    </row>
    <row r="129" spans="1:14" x14ac:dyDescent="0.45">
      <c r="A129" s="7">
        <v>128</v>
      </c>
      <c r="B129" s="13">
        <v>45994</v>
      </c>
      <c r="C129" s="7" t="s">
        <v>35</v>
      </c>
      <c r="D129" s="8" t="s">
        <v>36</v>
      </c>
      <c r="E129" s="7" t="s">
        <v>73</v>
      </c>
      <c r="F129" s="8" t="s">
        <v>79</v>
      </c>
      <c r="G129" s="7"/>
      <c r="H129" s="14"/>
      <c r="I129" s="7"/>
      <c r="J129" s="10"/>
      <c r="K129" s="10"/>
      <c r="L129" s="7"/>
      <c r="M129" s="13"/>
      <c r="N129" s="7"/>
    </row>
    <row r="130" spans="1:14" x14ac:dyDescent="0.45">
      <c r="A130" s="7">
        <v>129</v>
      </c>
      <c r="B130" s="13">
        <v>45994</v>
      </c>
      <c r="C130" s="7" t="s">
        <v>39</v>
      </c>
      <c r="D130" s="8" t="s">
        <v>40</v>
      </c>
      <c r="E130" s="7" t="s">
        <v>73</v>
      </c>
      <c r="F130" s="8" t="s">
        <v>79</v>
      </c>
      <c r="G130" s="7"/>
      <c r="H130" s="14"/>
      <c r="I130" s="7"/>
      <c r="J130" s="10"/>
      <c r="K130" s="10"/>
      <c r="L130" s="7"/>
      <c r="M130" s="13"/>
      <c r="N130" s="7"/>
    </row>
    <row r="131" spans="1:14" x14ac:dyDescent="0.45">
      <c r="A131" s="7">
        <v>130</v>
      </c>
      <c r="B131" s="13">
        <v>45994</v>
      </c>
      <c r="C131" s="7" t="s">
        <v>42</v>
      </c>
      <c r="D131" s="8" t="s">
        <v>43</v>
      </c>
      <c r="E131" s="7" t="s">
        <v>73</v>
      </c>
      <c r="F131" s="8" t="s">
        <v>79</v>
      </c>
      <c r="G131" s="7"/>
      <c r="H131" s="14"/>
      <c r="I131" s="7"/>
      <c r="J131" s="10"/>
      <c r="K131" s="10"/>
      <c r="L131" s="7"/>
      <c r="M131" s="13"/>
      <c r="N131" s="7"/>
    </row>
    <row r="132" spans="1:14" x14ac:dyDescent="0.45">
      <c r="H132" s="44"/>
      <c r="J132" s="11"/>
      <c r="K132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zoomScaleNormal="100" workbookViewId="0">
      <pane ySplit="1" topLeftCell="A2" activePane="bottomLeft" state="frozen"/>
      <selection pane="bottomLeft" activeCell="G10" sqref="G10"/>
    </sheetView>
  </sheetViews>
  <sheetFormatPr defaultColWidth="8.6640625" defaultRowHeight="14.25" x14ac:dyDescent="0.45"/>
  <cols>
    <col min="1" max="1" width="7" customWidth="1"/>
    <col min="2" max="2" width="30" customWidth="1"/>
    <col min="3" max="3" width="8" customWidth="1"/>
    <col min="4" max="4" width="26" customWidth="1"/>
    <col min="5" max="5" width="14" customWidth="1"/>
    <col min="6" max="6" width="13" customWidth="1"/>
    <col min="7" max="7" width="30" customWidth="1"/>
    <col min="8" max="8" width="14" customWidth="1"/>
    <col min="9" max="9" width="16" customWidth="1"/>
    <col min="10" max="11" width="12" customWidth="1"/>
  </cols>
  <sheetData>
    <row r="1" spans="1:10" ht="48" customHeight="1" x14ac:dyDescent="0.45">
      <c r="A1" s="1" t="s">
        <v>0</v>
      </c>
      <c r="B1" s="1" t="s">
        <v>1</v>
      </c>
      <c r="C1" s="1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50</v>
      </c>
      <c r="J1" s="1" t="s">
        <v>86</v>
      </c>
    </row>
    <row r="2" spans="1:10" x14ac:dyDescent="0.45">
      <c r="A2" s="7" t="s">
        <v>17</v>
      </c>
      <c r="B2" s="8" t="s">
        <v>18</v>
      </c>
      <c r="C2" s="7" t="s">
        <v>19</v>
      </c>
      <c r="D2" s="8" t="s">
        <v>74</v>
      </c>
      <c r="E2" s="19">
        <v>4</v>
      </c>
      <c r="F2" s="10">
        <f>'ABC-EOQ-SS-ROP'!E2</f>
        <v>290000</v>
      </c>
      <c r="G2" s="19" t="s">
        <v>87</v>
      </c>
      <c r="H2" s="19">
        <f>F2+(F2*20%)</f>
        <v>348000</v>
      </c>
      <c r="I2" s="15">
        <f>'ABC-EOQ-SS-ROP'!J2</f>
        <v>40000</v>
      </c>
      <c r="J2" s="46">
        <f>'ABC-EOQ-SS-ROP'!K2</f>
        <v>58000</v>
      </c>
    </row>
    <row r="3" spans="1:10" x14ac:dyDescent="0.45">
      <c r="A3" s="7" t="s">
        <v>21</v>
      </c>
      <c r="B3" s="8" t="s">
        <v>22</v>
      </c>
      <c r="C3" s="7" t="s">
        <v>19</v>
      </c>
      <c r="D3" s="8" t="s">
        <v>75</v>
      </c>
      <c r="E3" s="19">
        <v>3</v>
      </c>
      <c r="F3" s="10">
        <f>'ABC-EOQ-SS-ROP'!E3</f>
        <v>65000</v>
      </c>
      <c r="G3" s="19" t="s">
        <v>87</v>
      </c>
      <c r="H3" s="19">
        <f t="shared" ref="H3:H11" si="0">F3+(F3*20%)</f>
        <v>78000</v>
      </c>
      <c r="I3" s="15">
        <f>'ABC-EOQ-SS-ROP'!J3</f>
        <v>40000</v>
      </c>
      <c r="J3" s="46">
        <f>'ABC-EOQ-SS-ROP'!K3</f>
        <v>13000</v>
      </c>
    </row>
    <row r="4" spans="1:10" x14ac:dyDescent="0.45">
      <c r="A4" s="7" t="s">
        <v>23</v>
      </c>
      <c r="B4" s="8" t="s">
        <v>24</v>
      </c>
      <c r="C4" s="7" t="s">
        <v>19</v>
      </c>
      <c r="D4" s="8" t="s">
        <v>76</v>
      </c>
      <c r="E4" s="19">
        <v>5</v>
      </c>
      <c r="F4" s="10">
        <f>'ABC-EOQ-SS-ROP'!E4</f>
        <v>32000</v>
      </c>
      <c r="G4" s="19" t="s">
        <v>87</v>
      </c>
      <c r="H4" s="19">
        <f t="shared" si="0"/>
        <v>38400</v>
      </c>
      <c r="I4" s="15">
        <f>'ABC-EOQ-SS-ROP'!J4</f>
        <v>40000</v>
      </c>
      <c r="J4" s="46">
        <f>'ABC-EOQ-SS-ROP'!K4</f>
        <v>6400</v>
      </c>
    </row>
    <row r="5" spans="1:10" x14ac:dyDescent="0.45">
      <c r="A5" s="7" t="s">
        <v>25</v>
      </c>
      <c r="B5" s="8" t="s">
        <v>26</v>
      </c>
      <c r="C5" s="7" t="s">
        <v>19</v>
      </c>
      <c r="D5" s="8" t="s">
        <v>77</v>
      </c>
      <c r="E5" s="19">
        <v>4</v>
      </c>
      <c r="F5" s="10">
        <f>'ABC-EOQ-SS-ROP'!E5</f>
        <v>85000</v>
      </c>
      <c r="G5" s="19" t="s">
        <v>87</v>
      </c>
      <c r="H5" s="19">
        <f t="shared" si="0"/>
        <v>102000</v>
      </c>
      <c r="I5" s="15">
        <f>'ABC-EOQ-SS-ROP'!J5</f>
        <v>40000</v>
      </c>
      <c r="J5" s="46">
        <f>'ABC-EOQ-SS-ROP'!K5</f>
        <v>17000</v>
      </c>
    </row>
    <row r="6" spans="1:10" x14ac:dyDescent="0.45">
      <c r="A6" s="7" t="s">
        <v>27</v>
      </c>
      <c r="B6" s="8" t="s">
        <v>28</v>
      </c>
      <c r="C6" s="7" t="s">
        <v>19</v>
      </c>
      <c r="D6" s="8" t="s">
        <v>75</v>
      </c>
      <c r="E6" s="19">
        <v>3</v>
      </c>
      <c r="F6" s="10">
        <f>'ABC-EOQ-SS-ROP'!E6</f>
        <v>40000</v>
      </c>
      <c r="G6" s="19" t="s">
        <v>87</v>
      </c>
      <c r="H6" s="19">
        <f t="shared" si="0"/>
        <v>48000</v>
      </c>
      <c r="I6" s="15">
        <f>'ABC-EOQ-SS-ROP'!J6</f>
        <v>40000</v>
      </c>
      <c r="J6" s="46">
        <f>'ABC-EOQ-SS-ROP'!K6</f>
        <v>8000</v>
      </c>
    </row>
    <row r="7" spans="1:10" x14ac:dyDescent="0.45">
      <c r="A7" s="7" t="s">
        <v>29</v>
      </c>
      <c r="B7" s="8" t="s">
        <v>30</v>
      </c>
      <c r="C7" s="7" t="s">
        <v>19</v>
      </c>
      <c r="D7" s="8" t="s">
        <v>74</v>
      </c>
      <c r="E7" s="19">
        <v>4</v>
      </c>
      <c r="F7" s="10">
        <f>'ABC-EOQ-SS-ROP'!E7</f>
        <v>250000</v>
      </c>
      <c r="G7" s="19" t="s">
        <v>87</v>
      </c>
      <c r="H7" s="19">
        <f t="shared" si="0"/>
        <v>300000</v>
      </c>
      <c r="I7" s="15">
        <f>'ABC-EOQ-SS-ROP'!J7</f>
        <v>40000</v>
      </c>
      <c r="J7" s="46">
        <f>'ABC-EOQ-SS-ROP'!K7</f>
        <v>50000</v>
      </c>
    </row>
    <row r="8" spans="1:10" x14ac:dyDescent="0.45">
      <c r="A8" s="7" t="s">
        <v>32</v>
      </c>
      <c r="B8" s="8" t="s">
        <v>33</v>
      </c>
      <c r="C8" s="7" t="s">
        <v>19</v>
      </c>
      <c r="D8" s="8" t="s">
        <v>78</v>
      </c>
      <c r="E8" s="19">
        <v>5</v>
      </c>
      <c r="F8" s="10">
        <f>'ABC-EOQ-SS-ROP'!E8</f>
        <v>220000</v>
      </c>
      <c r="G8" s="19" t="s">
        <v>87</v>
      </c>
      <c r="H8" s="19">
        <f t="shared" si="0"/>
        <v>264000</v>
      </c>
      <c r="I8" s="15">
        <f>'ABC-EOQ-SS-ROP'!J8</f>
        <v>40000</v>
      </c>
      <c r="J8" s="46">
        <f>'ABC-EOQ-SS-ROP'!K8</f>
        <v>44000</v>
      </c>
    </row>
    <row r="9" spans="1:10" x14ac:dyDescent="0.45">
      <c r="A9" s="7" t="s">
        <v>35</v>
      </c>
      <c r="B9" s="8" t="s">
        <v>36</v>
      </c>
      <c r="C9" s="7" t="s">
        <v>37</v>
      </c>
      <c r="D9" s="8" t="s">
        <v>79</v>
      </c>
      <c r="E9" s="19">
        <v>5</v>
      </c>
      <c r="F9" s="10">
        <f>'ABC-EOQ-SS-ROP'!E9</f>
        <v>75000</v>
      </c>
      <c r="G9" s="19" t="s">
        <v>87</v>
      </c>
      <c r="H9" s="19">
        <f t="shared" si="0"/>
        <v>90000</v>
      </c>
      <c r="I9" s="15">
        <f>'ABC-EOQ-SS-ROP'!J9</f>
        <v>40000</v>
      </c>
      <c r="J9" s="46">
        <f>'ABC-EOQ-SS-ROP'!K9</f>
        <v>15000</v>
      </c>
    </row>
    <row r="10" spans="1:10" x14ac:dyDescent="0.45">
      <c r="A10" s="7" t="s">
        <v>39</v>
      </c>
      <c r="B10" s="8" t="s">
        <v>40</v>
      </c>
      <c r="C10" s="7" t="s">
        <v>37</v>
      </c>
      <c r="D10" s="8" t="s">
        <v>79</v>
      </c>
      <c r="E10" s="19">
        <v>5</v>
      </c>
      <c r="F10" s="10">
        <f>'ABC-EOQ-SS-ROP'!E10</f>
        <v>220000</v>
      </c>
      <c r="G10" s="19" t="s">
        <v>87</v>
      </c>
      <c r="H10" s="19">
        <f t="shared" si="0"/>
        <v>264000</v>
      </c>
      <c r="I10" s="15">
        <f>'ABC-EOQ-SS-ROP'!J10</f>
        <v>40000</v>
      </c>
      <c r="J10" s="46">
        <f>'ABC-EOQ-SS-ROP'!K10</f>
        <v>44000</v>
      </c>
    </row>
    <row r="11" spans="1:10" x14ac:dyDescent="0.45">
      <c r="A11" s="7" t="s">
        <v>42</v>
      </c>
      <c r="B11" s="8" t="s">
        <v>43</v>
      </c>
      <c r="C11" s="7" t="s">
        <v>37</v>
      </c>
      <c r="D11" s="8" t="s">
        <v>79</v>
      </c>
      <c r="E11" s="19">
        <v>5</v>
      </c>
      <c r="F11" s="10">
        <f>'ABC-EOQ-SS-ROP'!E11</f>
        <v>150000</v>
      </c>
      <c r="G11" s="19" t="s">
        <v>87</v>
      </c>
      <c r="H11" s="19">
        <f t="shared" si="0"/>
        <v>180000</v>
      </c>
      <c r="I11" s="15">
        <f>'ABC-EOQ-SS-ROP'!J11</f>
        <v>40000</v>
      </c>
      <c r="J11" s="46">
        <f>'ABC-EOQ-SS-ROP'!K11</f>
        <v>30000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1"/>
  <sheetViews>
    <sheetView topLeftCell="A31" zoomScaleNormal="100" workbookViewId="0">
      <selection activeCell="A29" sqref="A29"/>
    </sheetView>
  </sheetViews>
  <sheetFormatPr defaultColWidth="8.6640625" defaultRowHeight="14.25" x14ac:dyDescent="0.45"/>
  <cols>
    <col min="1" max="1" width="100" customWidth="1"/>
  </cols>
  <sheetData>
    <row r="1" spans="1:1" x14ac:dyDescent="0.45">
      <c r="A1" s="11" t="s">
        <v>88</v>
      </c>
    </row>
    <row r="2" spans="1:1" x14ac:dyDescent="0.45">
      <c r="A2" s="20"/>
    </row>
    <row r="3" spans="1:1" x14ac:dyDescent="0.45">
      <c r="A3" s="11" t="s">
        <v>89</v>
      </c>
    </row>
    <row r="4" spans="1:1" x14ac:dyDescent="0.45">
      <c r="A4" s="20" t="s">
        <v>90</v>
      </c>
    </row>
    <row r="5" spans="1:1" x14ac:dyDescent="0.45">
      <c r="A5" s="20" t="s">
        <v>91</v>
      </c>
    </row>
    <row r="6" spans="1:1" x14ac:dyDescent="0.45">
      <c r="A6" s="20" t="s">
        <v>92</v>
      </c>
    </row>
    <row r="7" spans="1:1" x14ac:dyDescent="0.45">
      <c r="A7" s="20" t="s">
        <v>93</v>
      </c>
    </row>
    <row r="8" spans="1:1" x14ac:dyDescent="0.45">
      <c r="A8" s="20" t="s">
        <v>94</v>
      </c>
    </row>
    <row r="9" spans="1:1" x14ac:dyDescent="0.45">
      <c r="A9" s="20"/>
    </row>
    <row r="10" spans="1:1" x14ac:dyDescent="0.45">
      <c r="A10" s="11" t="s">
        <v>95</v>
      </c>
    </row>
    <row r="11" spans="1:1" x14ac:dyDescent="0.45">
      <c r="A11" s="20" t="s">
        <v>96</v>
      </c>
    </row>
    <row r="12" spans="1:1" x14ac:dyDescent="0.45">
      <c r="A12" s="20" t="s">
        <v>97</v>
      </c>
    </row>
    <row r="13" spans="1:1" x14ac:dyDescent="0.45">
      <c r="A13" s="20" t="s">
        <v>98</v>
      </c>
    </row>
    <row r="14" spans="1:1" x14ac:dyDescent="0.45">
      <c r="A14" s="20" t="s">
        <v>99</v>
      </c>
    </row>
    <row r="15" spans="1:1" x14ac:dyDescent="0.45">
      <c r="A15" s="20" t="s">
        <v>100</v>
      </c>
    </row>
    <row r="16" spans="1:1" x14ac:dyDescent="0.45">
      <c r="A16" s="20" t="s">
        <v>101</v>
      </c>
    </row>
    <row r="17" spans="1:1" x14ac:dyDescent="0.45">
      <c r="A17" s="20" t="s">
        <v>102</v>
      </c>
    </row>
    <row r="18" spans="1:1" x14ac:dyDescent="0.45">
      <c r="A18" s="20" t="s">
        <v>103</v>
      </c>
    </row>
    <row r="19" spans="1:1" x14ac:dyDescent="0.45">
      <c r="A19" s="20" t="s">
        <v>104</v>
      </c>
    </row>
    <row r="20" spans="1:1" x14ac:dyDescent="0.45">
      <c r="A20" s="20"/>
    </row>
    <row r="21" spans="1:1" x14ac:dyDescent="0.45">
      <c r="A21" s="11" t="s">
        <v>105</v>
      </c>
    </row>
    <row r="22" spans="1:1" x14ac:dyDescent="0.45">
      <c r="A22" s="20" t="s">
        <v>106</v>
      </c>
    </row>
    <row r="23" spans="1:1" x14ac:dyDescent="0.45">
      <c r="A23" s="20" t="s">
        <v>107</v>
      </c>
    </row>
    <row r="24" spans="1:1" x14ac:dyDescent="0.45">
      <c r="A24" s="20" t="s">
        <v>108</v>
      </c>
    </row>
    <row r="25" spans="1:1" x14ac:dyDescent="0.45">
      <c r="A25" s="20" t="s">
        <v>109</v>
      </c>
    </row>
    <row r="26" spans="1:1" x14ac:dyDescent="0.45">
      <c r="A26" s="20" t="s">
        <v>110</v>
      </c>
    </row>
    <row r="27" spans="1:1" x14ac:dyDescent="0.45">
      <c r="A27" s="20" t="s">
        <v>111</v>
      </c>
    </row>
    <row r="28" spans="1:1" x14ac:dyDescent="0.45">
      <c r="A28" s="20"/>
    </row>
    <row r="29" spans="1:1" x14ac:dyDescent="0.45">
      <c r="A29" s="11" t="s">
        <v>112</v>
      </c>
    </row>
    <row r="30" spans="1:1" x14ac:dyDescent="0.45">
      <c r="A30" s="20" t="s">
        <v>113</v>
      </c>
    </row>
    <row r="31" spans="1:1" x14ac:dyDescent="0.45">
      <c r="A31" s="20" t="s">
        <v>114</v>
      </c>
    </row>
    <row r="32" spans="1:1" x14ac:dyDescent="0.45">
      <c r="A32" s="20" t="s">
        <v>115</v>
      </c>
    </row>
    <row r="33" spans="1:1" x14ac:dyDescent="0.45">
      <c r="A33" s="20" t="s">
        <v>116</v>
      </c>
    </row>
    <row r="34" spans="1:1" x14ac:dyDescent="0.45">
      <c r="A34" s="20" t="s">
        <v>117</v>
      </c>
    </row>
    <row r="35" spans="1:1" x14ac:dyDescent="0.45">
      <c r="A35" s="20"/>
    </row>
    <row r="36" spans="1:1" x14ac:dyDescent="0.45">
      <c r="A36" s="11" t="s">
        <v>118</v>
      </c>
    </row>
    <row r="37" spans="1:1" x14ac:dyDescent="0.45">
      <c r="A37" s="20" t="s">
        <v>119</v>
      </c>
    </row>
    <row r="38" spans="1:1" x14ac:dyDescent="0.45">
      <c r="A38" s="20" t="s">
        <v>120</v>
      </c>
    </row>
    <row r="39" spans="1:1" x14ac:dyDescent="0.45">
      <c r="A39" s="20"/>
    </row>
    <row r="40" spans="1:1" x14ac:dyDescent="0.45">
      <c r="A40" s="11" t="s">
        <v>121</v>
      </c>
    </row>
    <row r="41" spans="1:1" x14ac:dyDescent="0.45">
      <c r="A41" s="20" t="s">
        <v>122</v>
      </c>
    </row>
    <row r="42" spans="1:1" x14ac:dyDescent="0.45">
      <c r="A42" s="20" t="s">
        <v>123</v>
      </c>
    </row>
    <row r="43" spans="1:1" x14ac:dyDescent="0.45">
      <c r="A43" s="20" t="s">
        <v>124</v>
      </c>
    </row>
    <row r="44" spans="1:1" x14ac:dyDescent="0.45">
      <c r="A44" s="20"/>
    </row>
    <row r="45" spans="1:1" x14ac:dyDescent="0.45">
      <c r="A45" s="11" t="s">
        <v>125</v>
      </c>
    </row>
    <row r="46" spans="1:1" x14ac:dyDescent="0.45">
      <c r="A46" s="20" t="s">
        <v>126</v>
      </c>
    </row>
    <row r="47" spans="1:1" x14ac:dyDescent="0.45">
      <c r="A47" s="20" t="s">
        <v>127</v>
      </c>
    </row>
    <row r="48" spans="1:1" x14ac:dyDescent="0.45">
      <c r="A48" s="20" t="s">
        <v>128</v>
      </c>
    </row>
    <row r="49" spans="1:1" x14ac:dyDescent="0.45">
      <c r="A49" s="20" t="s">
        <v>129</v>
      </c>
    </row>
    <row r="50" spans="1:1" x14ac:dyDescent="0.45">
      <c r="A50" s="20" t="s">
        <v>130</v>
      </c>
    </row>
    <row r="51" spans="1:1" x14ac:dyDescent="0.45">
      <c r="A51" s="20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Bill of Material</vt:lpstr>
      <vt:lpstr>Barang Jadi</vt:lpstr>
      <vt:lpstr>Data Penjualan</vt:lpstr>
      <vt:lpstr>Pemakaian Bulanan</vt:lpstr>
      <vt:lpstr>ABC-EOQ-SS-ROP</vt:lpstr>
      <vt:lpstr>Data Pemesanan</vt:lpstr>
      <vt:lpstr>Master Bahan Baku</vt:lpstr>
      <vt:lpstr>Catatan Asumsi &amp; Metodologi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2026-07-04T05:10:10Z</dcterms:created>
  <dcterms:modified xsi:type="dcterms:W3CDTF">2026-07-08T16:42:43Z</dcterms:modified>
  <dc:language>en-US</dc:language>
</cp:coreProperties>
</file>